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Tejsw\Downloads\"/>
    </mc:Choice>
  </mc:AlternateContent>
  <xr:revisionPtr revIDLastSave="0" documentId="8_{392239A2-7150-40F2-85A2-2B435380E0CA}" xr6:coauthVersionLast="47" xr6:coauthVersionMax="47" xr10:uidLastSave="{00000000-0000-0000-0000-000000000000}"/>
  <bookViews>
    <workbookView xWindow="-110" yWindow="-110" windowWidth="19420" windowHeight="10300" xr2:uid="{26D4546B-D2A1-4444-8EAF-A6228F96F0C1}"/>
  </bookViews>
  <sheets>
    <sheet name="NZ staff" sheetId="1" r:id="rId1"/>
    <sheet name="India Staff" sheetId="2" r:id="rId2"/>
    <sheet name="All Staff" sheetId="3" r:id="rId3"/>
    <sheet name="Salary Spread" sheetId="9" r:id="rId4"/>
    <sheet name="Relationship" sheetId="10" r:id="rId5"/>
    <sheet name="Trend" sheetId="11" r:id="rId6"/>
    <sheet name="Scorecard" sheetId="12" r:id="rId7"/>
    <sheet name="Problem 1" sheetId="7" r:id="rId8"/>
    <sheet name="Problem 2" sheetId="8" r:id="rId9"/>
    <sheet name="Problem 3" sheetId="5" r:id="rId10"/>
    <sheet name="Problem 4" sheetId="6" r:id="rId11"/>
  </sheets>
  <definedNames>
    <definedName name="_xlnm._FilterDatabase" localSheetId="1" hidden="1">'India Staff'!$B$2:$H$114</definedName>
    <definedName name="_xlnm._FilterDatabase" localSheetId="0" hidden="1">'NZ staff'!$C$5:$I$105</definedName>
    <definedName name="_xlchart.v1.0" hidden="1">'All Staff'!$G$1</definedName>
    <definedName name="_xlchart.v1.1" hidden="1">'All Staff'!$G$2:$G$185</definedName>
    <definedName name="_xlcn.WorksheetConnection_blankdatafile.xlsxall_staff" hidden="1">all_staff[]</definedName>
    <definedName name="ExternalData_1" localSheetId="2" hidden="1">'All Staff'!$A$1:$H$184</definedName>
    <definedName name="Slicer_Country">#N/A</definedName>
  </definedNames>
  <calcPr calcId="191029"/>
  <pivotCaches>
    <pivotCache cacheId="0" r:id="rId12"/>
    <pivotCache cacheId="1" r:id="rId13"/>
    <pivotCache cacheId="2" r:id="rId14"/>
  </pivotCaches>
  <extLst>
    <ext xmlns:x14="http://schemas.microsoft.com/office/spreadsheetml/2009/9/main" uri="{876F7934-8845-4945-9796-88D515C7AA90}">
      <x14:pivotCaches>
        <pivotCache cacheId="3"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ll_staff" name="all_staff" connection="WorksheetConnection_blank-data-file.xlsx!all_staff"/>
        </x15:modelTables>
        <x15:extLst>
          <ext xmlns:x16="http://schemas.microsoft.com/office/spreadsheetml/2014/11/main" uri="{9835A34E-60A6-4A7C-AAB8-D5F71C897F49}">
            <x16:modelTimeGroupings>
              <x16:modelTimeGrouping tableName="all_staff" columnName="Date Joined" columnId="Date Joined">
                <x16:calculatedTimeColumn columnName="Date Joined (Year)" columnId="Date Joined (Year)" contentType="years" isSelected="1"/>
                <x16:calculatedTimeColumn columnName="Date Joined (Quarter)" columnId="Date Joined (Quarter)" contentType="quarters" isSelected="1"/>
                <x16:calculatedTimeColumn columnName="Date Joined (Month Index)" columnId="Date Joined (Month Index)" contentType="monthsindex" isSelected="1"/>
                <x16:calculatedTimeColumn columnName="Date Joined (Month)" columnId="Date Join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2" l="1"/>
  <c r="I4" i="12"/>
  <c r="K4" i="12" s="1"/>
  <c r="F4" i="12"/>
  <c r="B4" i="12"/>
  <c r="D4" i="12" s="1"/>
  <c r="D13" i="7"/>
  <c r="D12" i="7"/>
  <c r="E9" i="7"/>
  <c r="D9" i="7"/>
  <c r="E8" i="7"/>
  <c r="D8" i="7"/>
  <c r="D7" i="7"/>
  <c r="H12" i="5"/>
  <c r="I22" i="3"/>
  <c r="J22" i="3" s="1"/>
  <c r="I167" i="3"/>
  <c r="J167" i="3" s="1"/>
  <c r="I43" i="3"/>
  <c r="J43" i="3" s="1"/>
  <c r="I165" i="3"/>
  <c r="J165" i="3" s="1"/>
  <c r="I10" i="3"/>
  <c r="J10" i="3" s="1"/>
  <c r="I139" i="3"/>
  <c r="J139" i="3" s="1"/>
  <c r="I55" i="3"/>
  <c r="J55" i="3" s="1"/>
  <c r="I61" i="3"/>
  <c r="J61" i="3" s="1"/>
  <c r="I95" i="3"/>
  <c r="J95" i="3" s="1"/>
  <c r="I29" i="3"/>
  <c r="J29" i="3" s="1"/>
  <c r="I39" i="3"/>
  <c r="J39" i="3" s="1"/>
  <c r="I51" i="3"/>
  <c r="J51" i="3" s="1"/>
  <c r="I161" i="3"/>
  <c r="J161" i="3" s="1"/>
  <c r="I177" i="3"/>
  <c r="J177" i="3" s="1"/>
  <c r="I23" i="3"/>
  <c r="J23" i="3" s="1"/>
  <c r="I153" i="3"/>
  <c r="J153" i="3" s="1"/>
  <c r="I4" i="3"/>
  <c r="J4" i="3" s="1"/>
  <c r="I103" i="3"/>
  <c r="J103" i="3" s="1"/>
  <c r="I77" i="3"/>
  <c r="J77" i="3" s="1"/>
  <c r="I83" i="3"/>
  <c r="J83" i="3" s="1"/>
  <c r="I141" i="3"/>
  <c r="J141" i="3" s="1"/>
  <c r="I65" i="3"/>
  <c r="J65" i="3" s="1"/>
  <c r="I179" i="3"/>
  <c r="J179" i="3" s="1"/>
  <c r="I93" i="3"/>
  <c r="J93" i="3" s="1"/>
  <c r="I175" i="3"/>
  <c r="J175" i="3" s="1"/>
  <c r="I45" i="3"/>
  <c r="J45" i="3" s="1"/>
  <c r="I135" i="3"/>
  <c r="J135" i="3" s="1"/>
  <c r="I14" i="3"/>
  <c r="J14" i="3" s="1"/>
  <c r="I173" i="3"/>
  <c r="J173" i="3" s="1"/>
  <c r="I25" i="3"/>
  <c r="J25" i="3" s="1"/>
  <c r="I163" i="3"/>
  <c r="J163" i="3" s="1"/>
  <c r="I115" i="3"/>
  <c r="J115" i="3" s="1"/>
  <c r="I47" i="3"/>
  <c r="J47" i="3" s="1"/>
  <c r="I75" i="3"/>
  <c r="J75" i="3" s="1"/>
  <c r="I151" i="3"/>
  <c r="J151" i="3" s="1"/>
  <c r="I27" i="3"/>
  <c r="J27" i="3" s="1"/>
  <c r="I2" i="3"/>
  <c r="J2" i="3" s="1"/>
  <c r="I20" i="3"/>
  <c r="J20" i="3" s="1"/>
  <c r="I12" i="3"/>
  <c r="J12" i="3" s="1"/>
  <c r="I155" i="3"/>
  <c r="J155" i="3" s="1"/>
  <c r="I87" i="3"/>
  <c r="J87" i="3" s="1"/>
  <c r="I149" i="3"/>
  <c r="J149" i="3" s="1"/>
  <c r="I71" i="3"/>
  <c r="J71" i="3" s="1"/>
  <c r="I183" i="3"/>
  <c r="J183" i="3" s="1"/>
  <c r="I91" i="3"/>
  <c r="J91" i="3" s="1"/>
  <c r="I133" i="3"/>
  <c r="J133" i="3" s="1"/>
  <c r="I37" i="3"/>
  <c r="J37" i="3" s="1"/>
  <c r="I137" i="3"/>
  <c r="J137" i="3" s="1"/>
  <c r="I59" i="3"/>
  <c r="J59" i="3" s="1"/>
  <c r="I101" i="3"/>
  <c r="J101" i="3" s="1"/>
  <c r="I85" i="3"/>
  <c r="J85" i="3" s="1"/>
  <c r="I63" i="3"/>
  <c r="J63" i="3" s="1"/>
  <c r="I125" i="3"/>
  <c r="J125" i="3" s="1"/>
  <c r="I8" i="3"/>
  <c r="J8" i="3" s="1"/>
  <c r="I119" i="3"/>
  <c r="J119" i="3" s="1"/>
  <c r="I121" i="3"/>
  <c r="J121" i="3" s="1"/>
  <c r="I57" i="3"/>
  <c r="J57" i="3" s="1"/>
  <c r="I157" i="3"/>
  <c r="J157" i="3" s="1"/>
  <c r="I73" i="3"/>
  <c r="J73" i="3" s="1"/>
  <c r="I67" i="3"/>
  <c r="J67" i="3" s="1"/>
  <c r="I109" i="3"/>
  <c r="J109" i="3" s="1"/>
  <c r="I145" i="3"/>
  <c r="J145" i="3" s="1"/>
  <c r="I169" i="3"/>
  <c r="J169" i="3" s="1"/>
  <c r="I31" i="3"/>
  <c r="J31" i="3" s="1"/>
  <c r="I49" i="3"/>
  <c r="J49" i="3" s="1"/>
  <c r="I171" i="3"/>
  <c r="J171" i="3" s="1"/>
  <c r="I97" i="3"/>
  <c r="J97" i="3" s="1"/>
  <c r="I18" i="3"/>
  <c r="J18" i="3" s="1"/>
  <c r="I69" i="3"/>
  <c r="J69" i="3" s="1"/>
  <c r="I146" i="3"/>
  <c r="J146" i="3" s="1"/>
  <c r="I107" i="3"/>
  <c r="J107" i="3" s="1"/>
  <c r="I113" i="3"/>
  <c r="J113" i="3" s="1"/>
  <c r="I105" i="3"/>
  <c r="J105" i="3" s="1"/>
  <c r="I127" i="3"/>
  <c r="J127" i="3" s="1"/>
  <c r="I35" i="3"/>
  <c r="J35" i="3" s="1"/>
  <c r="I6" i="3"/>
  <c r="J6" i="3" s="1"/>
  <c r="I81" i="3"/>
  <c r="J81" i="3" s="1"/>
  <c r="I16" i="3"/>
  <c r="J16" i="3" s="1"/>
  <c r="I41" i="3"/>
  <c r="J41" i="3" s="1"/>
  <c r="I111" i="3"/>
  <c r="J111" i="3" s="1"/>
  <c r="I181" i="3"/>
  <c r="J181" i="3" s="1"/>
  <c r="I123" i="3"/>
  <c r="J123" i="3" s="1"/>
  <c r="I33" i="3"/>
  <c r="J33" i="3" s="1"/>
  <c r="I117" i="3"/>
  <c r="J117" i="3" s="1"/>
  <c r="I89" i="3"/>
  <c r="J89" i="3" s="1"/>
  <c r="I143" i="3"/>
  <c r="J143" i="3" s="1"/>
  <c r="I79" i="3"/>
  <c r="J79" i="3" s="1"/>
  <c r="I131" i="3"/>
  <c r="J131" i="3" s="1"/>
  <c r="I99" i="3"/>
  <c r="J99" i="3" s="1"/>
  <c r="I129" i="3"/>
  <c r="J129" i="3" s="1"/>
  <c r="I159" i="3"/>
  <c r="J159" i="3" s="1"/>
  <c r="I53" i="3"/>
  <c r="J53" i="3" s="1"/>
  <c r="I21" i="3"/>
  <c r="J21" i="3" s="1"/>
  <c r="I100" i="3"/>
  <c r="J100" i="3" s="1"/>
  <c r="I150" i="3"/>
  <c r="J150" i="3" s="1"/>
  <c r="I11" i="3"/>
  <c r="J11" i="3" s="1"/>
  <c r="I147" i="3"/>
  <c r="J147" i="3" s="1"/>
  <c r="I26" i="3"/>
  <c r="J26" i="3" s="1"/>
  <c r="I160" i="3"/>
  <c r="J160" i="3" s="1"/>
  <c r="I124" i="3"/>
  <c r="J124" i="3" s="1"/>
  <c r="I144" i="3"/>
  <c r="J144" i="3" s="1"/>
  <c r="I3" i="3"/>
  <c r="J3" i="3" s="1"/>
  <c r="I28" i="3"/>
  <c r="J28" i="3" s="1"/>
  <c r="I118" i="3"/>
  <c r="J118" i="3" s="1"/>
  <c r="I108" i="3"/>
  <c r="J108" i="3" s="1"/>
  <c r="I34" i="3"/>
  <c r="J34" i="3" s="1"/>
  <c r="I168" i="3"/>
  <c r="J168" i="3" s="1"/>
  <c r="I50" i="3"/>
  <c r="J50" i="3" s="1"/>
  <c r="I178" i="3"/>
  <c r="J178" i="3" s="1"/>
  <c r="I138" i="3"/>
  <c r="J138" i="3" s="1"/>
  <c r="I172" i="3"/>
  <c r="J172" i="3" s="1"/>
  <c r="I88" i="3"/>
  <c r="J88" i="3" s="1"/>
  <c r="I134" i="3"/>
  <c r="J134" i="3" s="1"/>
  <c r="I114" i="3"/>
  <c r="J114" i="3" s="1"/>
  <c r="I136" i="3"/>
  <c r="J136" i="3" s="1"/>
  <c r="I156" i="3"/>
  <c r="J156" i="3" s="1"/>
  <c r="I122" i="3"/>
  <c r="J122" i="3" s="1"/>
  <c r="I94" i="3"/>
  <c r="J94" i="3" s="1"/>
  <c r="I68" i="3"/>
  <c r="J68" i="3" s="1"/>
  <c r="I182" i="3"/>
  <c r="J182" i="3" s="1"/>
  <c r="I86" i="3"/>
  <c r="J86" i="3" s="1"/>
  <c r="I128" i="3"/>
  <c r="J128" i="3" s="1"/>
  <c r="I90" i="3"/>
  <c r="J90" i="3" s="1"/>
  <c r="I9" i="3"/>
  <c r="J9" i="3" s="1"/>
  <c r="I80" i="3"/>
  <c r="J80" i="3" s="1"/>
  <c r="I30" i="3"/>
  <c r="J30" i="3" s="1"/>
  <c r="I154" i="3"/>
  <c r="J154" i="3" s="1"/>
  <c r="I48" i="3"/>
  <c r="J48" i="3" s="1"/>
  <c r="I54" i="3"/>
  <c r="J54" i="3" s="1"/>
  <c r="I44" i="3"/>
  <c r="J44" i="3" s="1"/>
  <c r="I158" i="3"/>
  <c r="J158" i="3" s="1"/>
  <c r="I152" i="3"/>
  <c r="J152" i="3" s="1"/>
  <c r="I82" i="3"/>
  <c r="J82" i="3" s="1"/>
  <c r="I70" i="3"/>
  <c r="J70" i="3" s="1"/>
  <c r="I74" i="3"/>
  <c r="J74" i="3" s="1"/>
  <c r="I58" i="3"/>
  <c r="J58" i="3" s="1"/>
  <c r="I24" i="3"/>
  <c r="J24" i="3" s="1"/>
  <c r="I78" i="3"/>
  <c r="J78" i="3" s="1"/>
  <c r="I110" i="3"/>
  <c r="J110" i="3" s="1"/>
  <c r="I76" i="3"/>
  <c r="J76" i="3" s="1"/>
  <c r="I132" i="3"/>
  <c r="J132" i="3" s="1"/>
  <c r="I5" i="3"/>
  <c r="J5" i="3" s="1"/>
  <c r="I162" i="3"/>
  <c r="J162" i="3" s="1"/>
  <c r="I166" i="3"/>
  <c r="J166" i="3" s="1"/>
  <c r="I13" i="3"/>
  <c r="J13" i="3" s="1"/>
  <c r="I104" i="3"/>
  <c r="J104" i="3" s="1"/>
  <c r="I98" i="3"/>
  <c r="J98" i="3" s="1"/>
  <c r="I32" i="3"/>
  <c r="J32" i="3" s="1"/>
  <c r="I19" i="3"/>
  <c r="J19" i="3" s="1"/>
  <c r="I106" i="3"/>
  <c r="J106" i="3" s="1"/>
  <c r="I7" i="3"/>
  <c r="J7" i="3" s="1"/>
  <c r="I84" i="3"/>
  <c r="J84" i="3" s="1"/>
  <c r="I15" i="3"/>
  <c r="J15" i="3" s="1"/>
  <c r="I62" i="3"/>
  <c r="J62" i="3" s="1"/>
  <c r="I38" i="3"/>
  <c r="J38" i="3" s="1"/>
  <c r="I142" i="3"/>
  <c r="J142" i="3" s="1"/>
  <c r="I64" i="3"/>
  <c r="J64" i="3" s="1"/>
  <c r="I140" i="3"/>
  <c r="J140" i="3" s="1"/>
  <c r="I56" i="3"/>
  <c r="J56" i="3" s="1"/>
  <c r="I116" i="3"/>
  <c r="J116" i="3" s="1"/>
  <c r="I164" i="3"/>
  <c r="J164" i="3" s="1"/>
  <c r="I126" i="3"/>
  <c r="J126" i="3" s="1"/>
  <c r="I42" i="3"/>
  <c r="J42" i="3" s="1"/>
  <c r="I66" i="3"/>
  <c r="J66" i="3" s="1"/>
  <c r="I46" i="3"/>
  <c r="J46" i="3" s="1"/>
  <c r="I17" i="3"/>
  <c r="J17" i="3" s="1"/>
  <c r="I184" i="3"/>
  <c r="J184" i="3" s="1"/>
  <c r="I36" i="3"/>
  <c r="J36" i="3" s="1"/>
  <c r="I176" i="3"/>
  <c r="J176" i="3" s="1"/>
  <c r="I60" i="3"/>
  <c r="J60" i="3" s="1"/>
  <c r="I180" i="3"/>
  <c r="J180" i="3" s="1"/>
  <c r="I40" i="3"/>
  <c r="J40" i="3" s="1"/>
  <c r="I52" i="3"/>
  <c r="J52" i="3" s="1"/>
  <c r="I72" i="3"/>
  <c r="J72" i="3" s="1"/>
  <c r="I170" i="3"/>
  <c r="J170" i="3" s="1"/>
  <c r="I130" i="3"/>
  <c r="J130" i="3" s="1"/>
  <c r="I120" i="3"/>
  <c r="J120" i="3" s="1"/>
  <c r="I174" i="3"/>
  <c r="J174" i="3" s="1"/>
  <c r="I92" i="3"/>
  <c r="J92" i="3" s="1"/>
  <c r="I96" i="3"/>
  <c r="J96" i="3" s="1"/>
  <c r="I112" i="3"/>
  <c r="J112" i="3" s="1"/>
  <c r="I102" i="3"/>
  <c r="J102" i="3" s="1"/>
  <c r="I148" i="3"/>
  <c r="J148" i="3" s="1"/>
  <c r="F106" i="1"/>
  <c r="H106" i="1"/>
  <c r="I106" i="1"/>
  <c r="D15" i="8" l="1" a="1"/>
  <c r="D15" i="8" s="1"/>
  <c r="D11" i="7"/>
  <c r="D10" i="7"/>
  <c r="D16" i="5" a="1"/>
  <c r="D16"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41D0AD-3B81-4198-865F-E7018999314B}" keepAlive="1" name="Query - all staff" description="Connection to the 'all staff' query in the workbook." type="5" refreshedVersion="8" background="1" saveData="1">
    <dbPr connection="Provider=Microsoft.Mashup.OleDb.1;Data Source=$Workbook$;Location=&quot;all staff&quot;;Extended Properties=&quot;&quot;" command="SELECT * FROM [all staff]"/>
  </connection>
  <connection id="2" xr16:uid="{E20BD10B-C4C9-40BC-ADC3-84DE913A4533}" keepAlive="1" name="Query - IND" description="Connection to the 'IND' query in the workbook." type="5" refreshedVersion="0" background="1">
    <dbPr connection="Provider=Microsoft.Mashup.OleDb.1;Data Source=$Workbook$;Location=IND;Extended Properties=&quot;&quot;" command="SELECT * FROM [IND]"/>
  </connection>
  <connection id="3" xr16:uid="{A0E7015B-746E-4312-BDEF-552758F65C35}" keepAlive="1" name="Query - NZ" description="Connection to the 'NZ' query in the workbook." type="5" refreshedVersion="0" background="1">
    <dbPr connection="Provider=Microsoft.Mashup.OleDb.1;Data Source=$Workbook$;Location=NZ;Extended Properties=&quot;&quot;" command="SELECT * FROM [NZ]"/>
  </connection>
  <connection id="4" xr16:uid="{8907896F-9775-416A-A4C2-65C5375686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E09F5CB-22DB-4DEF-8488-7AB668564C47}" name="WorksheetConnection_blank-data-file.xlsx!all_staff" type="102" refreshedVersion="8" minRefreshableVersion="5">
    <extLst>
      <ext xmlns:x15="http://schemas.microsoft.com/office/spreadsheetml/2010/11/main" uri="{DE250136-89BD-433C-8126-D09CA5730AF9}">
        <x15:connection id="all_staff" autoDelete="1">
          <x15:rangePr sourceName="_xlcn.WorksheetConnection_blankdatafile.xlsxall_staff"/>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<sst xmlns="http://schemas.openxmlformats.org/spreadsheetml/2006/main" count="1876" uniqueCount="262">
  <si>
    <t>Name</t>
  </si>
  <si>
    <t>Gender</t>
  </si>
  <si>
    <t>Department</t>
  </si>
  <si>
    <t>Age</t>
  </si>
  <si>
    <t>Date Joined</t>
  </si>
  <si>
    <t>Salary</t>
  </si>
  <si>
    <t>Rating</t>
  </si>
  <si>
    <t>Barr Faughny</t>
  </si>
  <si>
    <t>Female</t>
  </si>
  <si>
    <t>Procurement</t>
  </si>
  <si>
    <t>Exceptional</t>
  </si>
  <si>
    <t>Dennison Crosswaite</t>
  </si>
  <si>
    <t>Website</t>
  </si>
  <si>
    <t>Above average</t>
  </si>
  <si>
    <t>Gunar Cockshoot</t>
  </si>
  <si>
    <t>Male</t>
  </si>
  <si>
    <t>Average</t>
  </si>
  <si>
    <t>Wilone O'Kielt</t>
  </si>
  <si>
    <t>Gigi Bohling</t>
  </si>
  <si>
    <t>Sales</t>
  </si>
  <si>
    <t>Curtice Advani</t>
  </si>
  <si>
    <t>Finance</t>
  </si>
  <si>
    <t>Kaine Padly</t>
  </si>
  <si>
    <t>Ches Bonnell</t>
  </si>
  <si>
    <t>Poor</t>
  </si>
  <si>
    <t>Andria Kimpton</t>
  </si>
  <si>
    <t>Brien Boise</t>
  </si>
  <si>
    <t>Husein Augar</t>
  </si>
  <si>
    <t>Karlen McCaffrey</t>
  </si>
  <si>
    <t>Jan Morforth</t>
  </si>
  <si>
    <t>Dotty Strutley</t>
  </si>
  <si>
    <t>Kelci Walkden</t>
  </si>
  <si>
    <t>Marney O'Breen</t>
  </si>
  <si>
    <t>Rafaelita Blaksland</t>
  </si>
  <si>
    <t>Madelene Upcott</t>
  </si>
  <si>
    <t>Beverie Moffet</t>
  </si>
  <si>
    <t>Oby Sorrel</t>
  </si>
  <si>
    <t>Mallorie Waber</t>
  </si>
  <si>
    <t>Jehu Rudeforth</t>
  </si>
  <si>
    <t>Van Tuxwell</t>
  </si>
  <si>
    <t>Roddy Speechley</t>
  </si>
  <si>
    <t>Camilla Castle</t>
  </si>
  <si>
    <t>Very poor</t>
  </si>
  <si>
    <t>Janene Hairsine</t>
  </si>
  <si>
    <t>Niall Selesnick</t>
  </si>
  <si>
    <t>Ebonee Roxburgh</t>
  </si>
  <si>
    <t>Zach Polon</t>
  </si>
  <si>
    <t>Orton Livick</t>
  </si>
  <si>
    <t>Gray Seamon</t>
  </si>
  <si>
    <t>Benny Karolovsky</t>
  </si>
  <si>
    <t>Dyna Doucette</t>
  </si>
  <si>
    <t>Erin Androsik</t>
  </si>
  <si>
    <t>Madge McCloughen</t>
  </si>
  <si>
    <t>Esmaria Denecamp</t>
  </si>
  <si>
    <t>Hogan Iles</t>
  </si>
  <si>
    <t>Valentia Etteridge</t>
  </si>
  <si>
    <t>HR</t>
  </si>
  <si>
    <t>Archibald Filliskirk</t>
  </si>
  <si>
    <t>Lindy Guillet</t>
  </si>
  <si>
    <t>Dell Molloy</t>
  </si>
  <si>
    <t>Ewart Laphorn</t>
  </si>
  <si>
    <t>Vic Radolf</t>
  </si>
  <si>
    <t>Virginia McConville</t>
  </si>
  <si>
    <t>Kaye Crocroft</t>
  </si>
  <si>
    <t>Mollie Hanway</t>
  </si>
  <si>
    <t>Hoyt D'Alesco</t>
  </si>
  <si>
    <t>Crissie Cordel</t>
  </si>
  <si>
    <t>Myer McCory</t>
  </si>
  <si>
    <t>Enoch Dowrey</t>
  </si>
  <si>
    <t>Kissiah Maydway</t>
  </si>
  <si>
    <t>Ambros Murthwaite</t>
  </si>
  <si>
    <t>Torrance Collier</t>
  </si>
  <si>
    <t>Allene Gobbet</t>
  </si>
  <si>
    <t>Violante Courtonne</t>
  </si>
  <si>
    <t>Merrilee Plenty</t>
  </si>
  <si>
    <t>Tatum Hush</t>
  </si>
  <si>
    <t>Kath Bletsoe</t>
  </si>
  <si>
    <t>Hinda Label</t>
  </si>
  <si>
    <t>Shari McNee</t>
  </si>
  <si>
    <t>My Hanscome</t>
  </si>
  <si>
    <t>Drusy MacCombe</t>
  </si>
  <si>
    <t>Halimeda Kuscha</t>
  </si>
  <si>
    <t>William Reeveley</t>
  </si>
  <si>
    <t>Tracy Renad</t>
  </si>
  <si>
    <t>Kassi Jonson</t>
  </si>
  <si>
    <t>Constantino Espley</t>
  </si>
  <si>
    <t>Gretchen Callow</t>
  </si>
  <si>
    <t>Bev Lashley</t>
  </si>
  <si>
    <t>Sibyl Dunkirk</t>
  </si>
  <si>
    <t>Alta Kaszper</t>
  </si>
  <si>
    <t>Shayne Stegel</t>
  </si>
  <si>
    <t>Hyacinthie Braybrooke</t>
  </si>
  <si>
    <t>Agnes Collicott</t>
  </si>
  <si>
    <t>Teressa Udden</t>
  </si>
  <si>
    <t>Bennie Pepis</t>
  </si>
  <si>
    <t>Elia Cockton</t>
  </si>
  <si>
    <t>Cherlyn Barter</t>
  </si>
  <si>
    <t>Murry Dryburgh</t>
  </si>
  <si>
    <t>Mahalia Larcher</t>
  </si>
  <si>
    <t>Bili Sizey</t>
  </si>
  <si>
    <t>Lilyan Klimpt</t>
  </si>
  <si>
    <t>Caro Chappel</t>
  </si>
  <si>
    <t>Leilah Yesinin</t>
  </si>
  <si>
    <t>Collin Jagson</t>
  </si>
  <si>
    <t>Kellsie Waby</t>
  </si>
  <si>
    <t>Simon Kembery</t>
  </si>
  <si>
    <t>Tawnya Tickel</t>
  </si>
  <si>
    <t>Bernie Gorges</t>
  </si>
  <si>
    <t>Florinda Crace</t>
  </si>
  <si>
    <t>Oran Buxcy</t>
  </si>
  <si>
    <t>Employee Data</t>
  </si>
  <si>
    <t>Nanak Sapna</t>
  </si>
  <si>
    <t>Karuna Pashupathy</t>
  </si>
  <si>
    <t>Amal Nimesh</t>
  </si>
  <si>
    <t>Ramnath Ravuri</t>
  </si>
  <si>
    <t>Yauvani Tarpa</t>
  </si>
  <si>
    <t>Upendra Swati</t>
  </si>
  <si>
    <t>Hridaynath Tendulkar</t>
  </si>
  <si>
    <t>Gangadutt Ragha</t>
  </si>
  <si>
    <t>Rameshwari Chikodi</t>
  </si>
  <si>
    <t>Pratigya Rema</t>
  </si>
  <si>
    <t>Kantimoy Pritish</t>
  </si>
  <si>
    <t>Tarala Vishaal</t>
  </si>
  <si>
    <t>Ardhendu Abhichandra Jayakar</t>
  </si>
  <si>
    <t>Jagajeet Viraj</t>
  </si>
  <si>
    <t>Shattesh Utpat</t>
  </si>
  <si>
    <t>Agrata Rajarama</t>
  </si>
  <si>
    <t>Sawini Chandan</t>
  </si>
  <si>
    <t>Damayanti Thangavadivelu</t>
  </si>
  <si>
    <t>Indu Varada Sumedh</t>
  </si>
  <si>
    <t>Krittika Gaekwad</t>
  </si>
  <si>
    <t>Mardav Ramaswami</t>
  </si>
  <si>
    <t>Lalit Kothari</t>
  </si>
  <si>
    <t>Bhuvan Pals</t>
  </si>
  <si>
    <t>Sarayu Ragunathan</t>
  </si>
  <si>
    <t>Ayog Chakrabarti</t>
  </si>
  <si>
    <t>Shevantilal Muppala</t>
  </si>
  <si>
    <t>Suchira Bhanupriya Tapti</t>
  </si>
  <si>
    <t>Mahindra Sreedharan</t>
  </si>
  <si>
    <t>Chitrasen Laul</t>
  </si>
  <si>
    <t>Akbar Sorabhjee</t>
  </si>
  <si>
    <t>Shulabh Qutub Sundaramoorthy</t>
  </si>
  <si>
    <t>Sahila Chandrasekhar</t>
  </si>
  <si>
    <t>Satyendra Venkatadri</t>
  </si>
  <si>
    <t>Piyali Mahanthapa</t>
  </si>
  <si>
    <t>Rukma Vinita</t>
  </si>
  <si>
    <t>Vanmala Shriharsha</t>
  </si>
  <si>
    <t>Sarojini Naueshwara</t>
  </si>
  <si>
    <t>Kaishori Harathi Kateel</t>
  </si>
  <si>
    <t>Shobhana Samuel</t>
  </si>
  <si>
    <t>Krishnakanta Vellanki</t>
  </si>
  <si>
    <t>Shiuli Sapna</t>
  </si>
  <si>
    <t>Anjushri Chandiramani</t>
  </si>
  <si>
    <t>Fullara Sushanti Mokate</t>
  </si>
  <si>
    <t>Shreela Ramasubraman</t>
  </si>
  <si>
    <t>Gumwant Veera</t>
  </si>
  <si>
    <t>Deepali Charan</t>
  </si>
  <si>
    <t>Geena Raghavanpillai</t>
  </si>
  <si>
    <t>Prerana Nishita</t>
  </si>
  <si>
    <t>Shekhar Eswara</t>
  </si>
  <si>
    <t>Kamalakshi Mukundan</t>
  </si>
  <si>
    <t>Sahas Sanabhi Shrikant</t>
  </si>
  <si>
    <t>Ranajay Kailashnath Richa</t>
  </si>
  <si>
    <t>Sukhdev Nageshwar</t>
  </si>
  <si>
    <t>Rushil Kripa</t>
  </si>
  <si>
    <t>Daruka Ghazali</t>
  </si>
  <si>
    <t>Godavari Veena</t>
  </si>
  <si>
    <t>Anumati Shyamari Meherhomji</t>
  </si>
  <si>
    <t>Abhaya Priyavardhan</t>
  </si>
  <si>
    <t>Purnendu Vijayarangan</t>
  </si>
  <si>
    <t>Sameer Shashank Sapra</t>
  </si>
  <si>
    <t>Asija Pothireddy</t>
  </si>
  <si>
    <t>Rupak Mehra</t>
  </si>
  <si>
    <t>Makshi Vinutha</t>
  </si>
  <si>
    <t>Pragya Nilufar</t>
  </si>
  <si>
    <t>Dhruv Manjunath</t>
  </si>
  <si>
    <t>Yagna Sujeev</t>
  </si>
  <si>
    <t>Mithil Nadkarni</t>
  </si>
  <si>
    <t>Bandhula Sathyanna</t>
  </si>
  <si>
    <t>Shubhra Potla</t>
  </si>
  <si>
    <t>Narois Motiwala</t>
  </si>
  <si>
    <t>Madhumati Gazala Soumitra</t>
  </si>
  <si>
    <t>Sanchali Shirish</t>
  </si>
  <si>
    <t>Chandana Sannidhi Surnilla</t>
  </si>
  <si>
    <t>Devasree Fullara Saurin</t>
  </si>
  <si>
    <t>Kunja Prashanta Vibha</t>
  </si>
  <si>
    <t>Kevalkumar Solanki</t>
  </si>
  <si>
    <t>Kulbhushan Moorthy</t>
  </si>
  <si>
    <t>Hemavati Muthiah</t>
  </si>
  <si>
    <t>Sartaj Probal</t>
  </si>
  <si>
    <t>Jaishree Atasi Yavatkar</t>
  </si>
  <si>
    <t>Ilesh Dasgupta</t>
  </si>
  <si>
    <t>Waheeda Vasuman</t>
  </si>
  <si>
    <t>Vinanti Choudhari</t>
  </si>
  <si>
    <t>Manjusri Ruchi</t>
  </si>
  <si>
    <t>Deepit Ranjana</t>
  </si>
  <si>
    <t>Amlankusum Rajabhushan</t>
  </si>
  <si>
    <t>Udyan Lanka</t>
  </si>
  <si>
    <t>Baruna Ogale</t>
  </si>
  <si>
    <t>Heer Pennathur</t>
  </si>
  <si>
    <t>Vasu Nandin</t>
  </si>
  <si>
    <t>Madhavdas Buhpathi</t>
  </si>
  <si>
    <t>Mirium Seemantini Shivakumar</t>
  </si>
  <si>
    <t>Total</t>
  </si>
  <si>
    <t>Country</t>
  </si>
  <si>
    <t>IND</t>
  </si>
  <si>
    <t>Other</t>
  </si>
  <si>
    <t>NZ</t>
  </si>
  <si>
    <t>Average Salary</t>
  </si>
  <si>
    <t>Female Ratio %</t>
  </si>
  <si>
    <t>count of employees</t>
  </si>
  <si>
    <t>Average Age</t>
  </si>
  <si>
    <t>Average Tennure</t>
  </si>
  <si>
    <t>Tenure</t>
  </si>
  <si>
    <t>Median</t>
  </si>
  <si>
    <t xml:space="preserve"> Female Count</t>
  </si>
  <si>
    <t>Ratio of 90,000$ &gt;</t>
  </si>
  <si>
    <t>XLOOKUP</t>
  </si>
  <si>
    <t>Information Finder</t>
  </si>
  <si>
    <t>Number of people</t>
  </si>
  <si>
    <t>S.no</t>
  </si>
  <si>
    <t>Department Name--&gt;</t>
  </si>
  <si>
    <t>Column Labels</t>
  </si>
  <si>
    <t>Values</t>
  </si>
  <si>
    <t>Count</t>
  </si>
  <si>
    <t>Averages of Age</t>
  </si>
  <si>
    <t>Average of Salary</t>
  </si>
  <si>
    <t>Average of Tenure</t>
  </si>
  <si>
    <t>Quick Analysis of the Data</t>
  </si>
  <si>
    <t>Extended Information Finder</t>
  </si>
  <si>
    <t>Annual Bonus</t>
  </si>
  <si>
    <t>Function</t>
  </si>
  <si>
    <t>Male VS Female Comparison</t>
  </si>
  <si>
    <t>Row Labels</t>
  </si>
  <si>
    <t>Grand Total</t>
  </si>
  <si>
    <t>Count of Name</t>
  </si>
  <si>
    <t>Count of employees</t>
  </si>
  <si>
    <t>Analyze the Salary Spread</t>
  </si>
  <si>
    <t>Relationship Between Salary &amp; Rating</t>
  </si>
  <si>
    <t>Employee Trend Over Time</t>
  </si>
  <si>
    <t>2020</t>
  </si>
  <si>
    <t>May</t>
  </si>
  <si>
    <t>Jun</t>
  </si>
  <si>
    <t>Jul</t>
  </si>
  <si>
    <t>Aug</t>
  </si>
  <si>
    <t>Sep</t>
  </si>
  <si>
    <t>Oct</t>
  </si>
  <si>
    <t>Nov</t>
  </si>
  <si>
    <t>Dec</t>
  </si>
  <si>
    <t>2021</t>
  </si>
  <si>
    <t>Jan</t>
  </si>
  <si>
    <t>Feb</t>
  </si>
  <si>
    <t>Mar</t>
  </si>
  <si>
    <t>Apr</t>
  </si>
  <si>
    <t>2022</t>
  </si>
  <si>
    <t>2023</t>
  </si>
  <si>
    <t>Headcount by Department</t>
  </si>
  <si>
    <t>No. of Employees</t>
  </si>
  <si>
    <t>Female Ratio</t>
  </si>
  <si>
    <t>Avg Salary</t>
  </si>
  <si>
    <t>New Zealand</t>
  </si>
  <si>
    <t>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</si>
</sst>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409]* #,##0.00_ ;_-[$$-409]* \-#,##0.00\ ;_-[$$-409]* &quot;-&quot;??_ ;_-@_ "/>
    <numFmt numFmtId="165" formatCode="0.0"/>
    <numFmt numFmtId="166" formatCode="0.00&quot; Yrs&quot;"/>
    <numFmt numFmtId="167" formatCode="&quot;₹&quot;\ #,##0.00"/>
    <numFmt numFmtId="168" formatCode="_-[$$-409]* #,##0_ ;_-[$$-409]* \-#,##0\ ;_-[$$-409]* &quot;-&quot;??_ ;_-@_ "/>
    <numFmt numFmtId="169" formatCode="[$$-C09]#,##0"/>
  </numFmts>
  <fonts count="16" x14ac:knownFonts="1">
    <font>
      <sz val="11"/>
      <color theme="1"/>
      <name val="Calibri"/>
      <family val="2"/>
      <scheme val="minor"/>
    </font>
    <font>
      <sz val="28"/>
      <color theme="1"/>
      <name val="Segoe UI Light"/>
      <family val="2"/>
    </font>
    <font>
      <sz val="12"/>
      <color theme="1"/>
      <name val="Calibri"/>
      <family val="2"/>
      <scheme val="minor"/>
    </font>
    <font>
      <sz val="14"/>
      <color theme="1"/>
      <name val="Calibri"/>
      <family val="2"/>
      <scheme val="minor"/>
    </font>
    <font>
      <b/>
      <sz val="14"/>
      <color theme="1"/>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
      <b/>
      <sz val="15"/>
      <color theme="1"/>
      <name val="Times New Roman"/>
      <family val="1"/>
    </font>
    <font>
      <b/>
      <sz val="18"/>
      <color theme="1"/>
      <name val="Times New Roman"/>
      <family val="1"/>
    </font>
    <font>
      <sz val="40"/>
      <color theme="0"/>
      <name val="Segoe UI Black"/>
      <family val="2"/>
    </font>
    <font>
      <b/>
      <sz val="20"/>
      <color theme="1" tint="0.14999847407452621"/>
      <name val="Times New Roman"/>
      <family val="1"/>
    </font>
    <font>
      <b/>
      <sz val="14"/>
      <color theme="1"/>
      <name val="Times New Roman"/>
      <family val="1"/>
    </font>
    <font>
      <sz val="45"/>
      <color theme="0"/>
      <name val="Segoe UI Black"/>
      <family val="2"/>
    </font>
    <font>
      <sz val="25"/>
      <color theme="0"/>
      <name val="Segoe UI Black"/>
      <family val="2"/>
    </font>
    <font>
      <sz val="28"/>
      <color theme="1"/>
      <name val="Calibri"/>
      <family val="2"/>
      <scheme val="minor"/>
    </font>
  </fonts>
  <fills count="9">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2" tint="-9.9978637043366805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6" fillId="0" borderId="0" applyFont="0" applyFill="0" applyBorder="0" applyAlignment="0" applyProtection="0"/>
  </cellStyleXfs>
  <cellXfs count="48">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15" fontId="0" fillId="0" borderId="0" xfId="0" applyNumberFormat="1"/>
    <xf numFmtId="164" fontId="0" fillId="0" borderId="0" xfId="0" applyNumberFormat="1"/>
    <xf numFmtId="14" fontId="0" fillId="0" borderId="0" xfId="0" applyNumberFormat="1"/>
    <xf numFmtId="2" fontId="0" fillId="0" borderId="0" xfId="0" applyNumberFormat="1"/>
    <xf numFmtId="165" fontId="0" fillId="0" borderId="0" xfId="0" applyNumberFormat="1"/>
    <xf numFmtId="166" fontId="0" fillId="0" borderId="0" xfId="0" applyNumberFormat="1"/>
    <xf numFmtId="0" fontId="0" fillId="0" borderId="1" xfId="0" applyBorder="1"/>
    <xf numFmtId="0" fontId="0" fillId="0" borderId="1" xfId="0" applyBorder="1" applyAlignment="1">
      <alignment horizontal="center"/>
    </xf>
    <xf numFmtId="14" fontId="0" fillId="0" borderId="1" xfId="0" applyNumberFormat="1" applyBorder="1" applyAlignment="1">
      <alignment horizontal="center"/>
    </xf>
    <xf numFmtId="165" fontId="0" fillId="0" borderId="1" xfId="0" applyNumberFormat="1" applyBorder="1" applyAlignment="1">
      <alignment horizontal="center"/>
    </xf>
    <xf numFmtId="0" fontId="4" fillId="0" borderId="1" xfId="0" applyFont="1" applyBorder="1"/>
    <xf numFmtId="0" fontId="0" fillId="0" borderId="0" xfId="0" pivotButton="1"/>
    <xf numFmtId="0" fontId="0" fillId="0" borderId="0" xfId="0" applyAlignment="1">
      <alignment horizontal="left"/>
    </xf>
    <xf numFmtId="1" fontId="0" fillId="0" borderId="0" xfId="0" applyNumberFormat="1"/>
    <xf numFmtId="168" fontId="0" fillId="0" borderId="0" xfId="0" applyNumberFormat="1"/>
    <xf numFmtId="0" fontId="0" fillId="5" borderId="1" xfId="0" applyFill="1" applyBorder="1"/>
    <xf numFmtId="0" fontId="2" fillId="5" borderId="1" xfId="0" applyFont="1" applyFill="1" applyBorder="1"/>
    <xf numFmtId="0" fontId="7" fillId="0" borderId="1" xfId="0" applyFont="1" applyBorder="1"/>
    <xf numFmtId="9" fontId="7" fillId="0" borderId="1" xfId="0" applyNumberFormat="1" applyFont="1" applyBorder="1"/>
    <xf numFmtId="168" fontId="0" fillId="0" borderId="1" xfId="0" applyNumberFormat="1" applyBorder="1"/>
    <xf numFmtId="0" fontId="5" fillId="0" borderId="1" xfId="0" applyFont="1" applyBorder="1"/>
    <xf numFmtId="0" fontId="4" fillId="5" borderId="1" xfId="0" applyFont="1" applyFill="1" applyBorder="1"/>
    <xf numFmtId="0" fontId="4" fillId="4" borderId="1" xfId="0" applyFont="1" applyFill="1" applyBorder="1"/>
    <xf numFmtId="0" fontId="5" fillId="5" borderId="1" xfId="0" applyFont="1" applyFill="1" applyBorder="1"/>
    <xf numFmtId="164" fontId="4" fillId="5" borderId="1" xfId="0" applyNumberFormat="1" applyFont="1" applyFill="1" applyBorder="1"/>
    <xf numFmtId="164" fontId="2" fillId="0" borderId="0" xfId="0" applyNumberFormat="1" applyFont="1"/>
    <xf numFmtId="0" fontId="5" fillId="0" borderId="0" xfId="0" applyFont="1"/>
    <xf numFmtId="0" fontId="5" fillId="4" borderId="2" xfId="0" applyFont="1" applyFill="1" applyBorder="1"/>
    <xf numFmtId="0" fontId="2" fillId="5" borderId="2" xfId="0" applyFont="1" applyFill="1" applyBorder="1"/>
    <xf numFmtId="0" fontId="3" fillId="5" borderId="2" xfId="0" applyFont="1" applyFill="1" applyBorder="1"/>
    <xf numFmtId="169" fontId="0" fillId="0" borderId="0" xfId="0" applyNumberFormat="1"/>
    <xf numFmtId="0" fontId="8" fillId="5" borderId="0" xfId="0" applyFont="1" applyFill="1"/>
    <xf numFmtId="0" fontId="0" fillId="0" borderId="0" xfId="0" applyAlignment="1">
      <alignment horizontal="left" indent="1"/>
    </xf>
    <xf numFmtId="0" fontId="9" fillId="5" borderId="0" xfId="0" applyFont="1" applyFill="1"/>
    <xf numFmtId="0" fontId="3" fillId="5" borderId="1" xfId="0" applyFont="1" applyFill="1" applyBorder="1"/>
    <xf numFmtId="9" fontId="10" fillId="6" borderId="0" xfId="1" applyFont="1" applyFill="1" applyAlignment="1">
      <alignment horizontal="center" vertical="center"/>
    </xf>
    <xf numFmtId="0" fontId="12" fillId="0" borderId="0" xfId="0" applyFont="1" applyAlignment="1">
      <alignment horizontal="center"/>
    </xf>
    <xf numFmtId="0" fontId="13" fillId="6" borderId="0" xfId="0" applyFont="1" applyFill="1" applyAlignment="1">
      <alignment horizontal="center" vertical="center"/>
    </xf>
    <xf numFmtId="169" fontId="14" fillId="6" borderId="0" xfId="1" applyNumberFormat="1" applyFont="1" applyFill="1" applyAlignment="1">
      <alignment horizontal="center" vertical="center"/>
    </xf>
    <xf numFmtId="0" fontId="13" fillId="7" borderId="0" xfId="0" applyFont="1" applyFill="1" applyAlignment="1">
      <alignment horizontal="center" vertical="center"/>
    </xf>
    <xf numFmtId="169" fontId="14" fillId="7" borderId="0" xfId="1" applyNumberFormat="1" applyFont="1" applyFill="1" applyAlignment="1">
      <alignment horizontal="center" vertical="center"/>
    </xf>
    <xf numFmtId="9" fontId="10" fillId="7" borderId="0" xfId="0" applyNumberFormat="1" applyFont="1" applyFill="1" applyAlignment="1">
      <alignment horizontal="center" vertical="center"/>
    </xf>
    <xf numFmtId="0" fontId="11" fillId="8" borderId="0" xfId="0" applyFont="1" applyFill="1" applyAlignment="1">
      <alignment horizontal="center" vertical="center"/>
    </xf>
    <xf numFmtId="0" fontId="15" fillId="0" borderId="0" xfId="0" applyFont="1" applyAlignment="1">
      <alignment horizontal="center"/>
    </xf>
  </cellXfs>
  <cellStyles count="2">
    <cellStyle name="Normal" xfId="0" builtinId="0"/>
    <cellStyle name="Percent" xfId="1" builtinId="5"/>
  </cellStyles>
  <dxfs count="25">
    <dxf>
      <font>
        <color rgb="FF9C0006"/>
      </font>
      <fill>
        <patternFill>
          <bgColor rgb="FFFFC7CE"/>
        </patternFill>
      </fill>
    </dxf>
    <dxf>
      <alignment vertical="bottom"/>
    </dxf>
    <dxf>
      <alignment horizontal="general"/>
    </dxf>
    <dxf>
      <numFmt numFmtId="2" formatCode="0.00"/>
    </dxf>
    <dxf>
      <numFmt numFmtId="164" formatCode="_-[$$-409]* #,##0.00_ ;_-[$$-409]* \-#,##0.00\ ;_-[$$-409]* &quot;-&quot;??_ ;_-@_ "/>
    </dxf>
    <dxf>
      <numFmt numFmtId="167" formatCode="&quot;₹&quot;\ #,##0.00"/>
    </dxf>
    <dxf>
      <numFmt numFmtId="165" formatCode="0.0"/>
    </dxf>
    <dxf>
      <numFmt numFmtId="1" formatCode="0"/>
    </dxf>
    <dxf>
      <numFmt numFmtId="2" formatCode="0.00"/>
    </dxf>
    <dxf>
      <numFmt numFmtId="2" formatCode="0.00"/>
    </dxf>
    <dxf>
      <numFmt numFmtId="2" formatCode="0.00"/>
    </dxf>
    <dxf>
      <numFmt numFmtId="2" formatCode="0.00"/>
    </dxf>
    <dxf>
      <numFmt numFmtId="165" formatCode="0.0"/>
    </dxf>
    <dxf>
      <numFmt numFmtId="165" formatCode="0.0"/>
    </dxf>
    <dxf>
      <numFmt numFmtId="165" formatCode="0.0"/>
    </dxf>
    <dxf>
      <numFmt numFmtId="165" formatCode="0.0"/>
    </dxf>
    <dxf>
      <numFmt numFmtId="2" formatCode="0.00"/>
    </dxf>
    <dxf>
      <numFmt numFmtId="169" formatCode="[$$-C09]#,##0"/>
    </dxf>
    <dxf>
      <numFmt numFmtId="164" formatCode="_-[$$-409]* #,##0.00_ ;_-[$$-409]* \-#,##0.00\ ;_-[$$-409]* &quot;-&quot;??_ ;_-@_ "/>
    </dxf>
    <dxf>
      <numFmt numFmtId="168" formatCode="_-[$$-409]* #,##0_ ;_-[$$-409]* \-#,##0\ ;_-[$$-409]* &quot;-&quot;??_ ;_-@_ "/>
    </dxf>
    <dxf>
      <numFmt numFmtId="166" formatCode="0.00&quot; Yrs&quot;"/>
    </dxf>
    <dxf>
      <numFmt numFmtId="168" formatCode="_-[$$-409]* #,##0_ ;_-[$$-409]* \-#,##0\ ;_-[$$-409]* &quot;-&quot;??_ ;_-@_ "/>
    </dxf>
    <dxf>
      <numFmt numFmtId="19" formatCode="dd/mm/yyyy"/>
    </dxf>
    <dxf>
      <numFmt numFmtId="20" formatCode="dd/mmm/yy"/>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Workforce Analytics Dashboard.xlsx]Trend!PivotTable2</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Count over Time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Trend!$C$3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Trend!$B$4:$B$40</c:f>
              <c:multiLvlStrCache>
                <c:ptCount val="3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pt idx="22">
                    <c:v>Mar</c:v>
                  </c:pt>
                  <c:pt idx="23">
                    <c:v>Apr</c:v>
                  </c:pt>
                  <c:pt idx="24">
                    <c:v>May</c:v>
                  </c:pt>
                  <c:pt idx="25">
                    <c:v>Jun</c:v>
                  </c:pt>
                  <c:pt idx="26">
                    <c:v>Jul</c:v>
                  </c:pt>
                  <c:pt idx="27">
                    <c:v>Aug</c:v>
                  </c:pt>
                  <c:pt idx="28">
                    <c:v>Sep</c:v>
                  </c:pt>
                  <c:pt idx="29">
                    <c:v>Oct</c:v>
                  </c:pt>
                  <c:pt idx="30">
                    <c:v>Feb</c:v>
                  </c:pt>
                  <c:pt idx="31">
                    <c:v>Apr</c:v>
                  </c:pt>
                </c:lvl>
                <c:lvl>
                  <c:pt idx="0">
                    <c:v>2020</c:v>
                  </c:pt>
                  <c:pt idx="8">
                    <c:v>2021</c:v>
                  </c:pt>
                  <c:pt idx="20">
                    <c:v>2022</c:v>
                  </c:pt>
                  <c:pt idx="30">
                    <c:v>2023</c:v>
                  </c:pt>
                </c:lvl>
              </c:multiLvlStrCache>
            </c:multiLvlStrRef>
          </c:cat>
          <c:val>
            <c:numRef>
              <c:f>Trend!$C$4:$C$40</c:f>
              <c:numCache>
                <c:formatCode>General</c:formatCode>
                <c:ptCount val="32"/>
                <c:pt idx="0">
                  <c:v>3</c:v>
                </c:pt>
                <c:pt idx="1">
                  <c:v>4</c:v>
                </c:pt>
                <c:pt idx="2">
                  <c:v>9</c:v>
                </c:pt>
                <c:pt idx="3">
                  <c:v>12</c:v>
                </c:pt>
                <c:pt idx="4">
                  <c:v>18</c:v>
                </c:pt>
                <c:pt idx="5">
                  <c:v>24</c:v>
                </c:pt>
                <c:pt idx="6">
                  <c:v>30</c:v>
                </c:pt>
                <c:pt idx="7">
                  <c:v>37</c:v>
                </c:pt>
                <c:pt idx="8">
                  <c:v>6</c:v>
                </c:pt>
                <c:pt idx="9">
                  <c:v>10</c:v>
                </c:pt>
                <c:pt idx="10">
                  <c:v>19</c:v>
                </c:pt>
                <c:pt idx="11">
                  <c:v>24</c:v>
                </c:pt>
                <c:pt idx="12">
                  <c:v>34</c:v>
                </c:pt>
                <c:pt idx="13">
                  <c:v>40</c:v>
                </c:pt>
                <c:pt idx="14">
                  <c:v>53</c:v>
                </c:pt>
                <c:pt idx="15">
                  <c:v>57</c:v>
                </c:pt>
                <c:pt idx="16">
                  <c:v>68</c:v>
                </c:pt>
                <c:pt idx="17">
                  <c:v>71</c:v>
                </c:pt>
                <c:pt idx="18">
                  <c:v>75</c:v>
                </c:pt>
                <c:pt idx="19">
                  <c:v>82</c:v>
                </c:pt>
                <c:pt idx="20">
                  <c:v>3</c:v>
                </c:pt>
                <c:pt idx="21">
                  <c:v>13</c:v>
                </c:pt>
                <c:pt idx="22">
                  <c:v>22</c:v>
                </c:pt>
                <c:pt idx="23">
                  <c:v>31</c:v>
                </c:pt>
                <c:pt idx="24">
                  <c:v>40</c:v>
                </c:pt>
                <c:pt idx="25">
                  <c:v>47</c:v>
                </c:pt>
                <c:pt idx="26">
                  <c:v>52</c:v>
                </c:pt>
                <c:pt idx="27">
                  <c:v>57</c:v>
                </c:pt>
                <c:pt idx="28">
                  <c:v>59</c:v>
                </c:pt>
                <c:pt idx="29">
                  <c:v>62</c:v>
                </c:pt>
                <c:pt idx="30">
                  <c:v>1</c:v>
                </c:pt>
                <c:pt idx="31">
                  <c:v>2</c:v>
                </c:pt>
              </c:numCache>
            </c:numRef>
          </c:val>
          <c:smooth val="0"/>
          <c:extLst>
            <c:ext xmlns:c16="http://schemas.microsoft.com/office/drawing/2014/chart" uri="{C3380CC4-5D6E-409C-BE32-E72D297353CC}">
              <c16:uniqueId val="{00000000-27DE-409E-9993-13427AF410B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89331040"/>
        <c:axId val="689331520"/>
      </c:lineChart>
      <c:catAx>
        <c:axId val="6893310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89331520"/>
        <c:crosses val="autoZero"/>
        <c:auto val="1"/>
        <c:lblAlgn val="ctr"/>
        <c:lblOffset val="100"/>
        <c:noMultiLvlLbl val="0"/>
      </c:catAx>
      <c:valAx>
        <c:axId val="689331520"/>
        <c:scaling>
          <c:orientation val="minMax"/>
        </c:scaling>
        <c:delete val="0"/>
        <c:axPos val="l"/>
        <c:majorGridlines>
          <c:spPr>
            <a:ln>
              <a:solidFill>
                <a:schemeClr val="dk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8933104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lumMod val="60000"/>
                <a:lumOff val="40000"/>
              </a:schemeClr>
            </a:solidFill>
            <a:ln>
              <a:noFill/>
            </a:ln>
            <a:effectLst/>
          </c:spPr>
          <c:invertIfNegative val="0"/>
          <c:cat>
            <c:strLit>
              <c:ptCount val="5"/>
              <c:pt idx="0">
                <c:v>Procurement</c:v>
              </c:pt>
              <c:pt idx="1">
                <c:v>Website</c:v>
              </c:pt>
              <c:pt idx="2">
                <c:v>Finance</c:v>
              </c:pt>
              <c:pt idx="3">
                <c:v>Sales</c:v>
              </c:pt>
              <c:pt idx="4">
                <c:v>HR</c:v>
              </c:pt>
            </c:strLit>
          </c:cat>
          <c:val>
            <c:numLit>
              <c:formatCode>General</c:formatCode>
              <c:ptCount val="5"/>
              <c:pt idx="0">
                <c:v>28</c:v>
              </c:pt>
              <c:pt idx="1">
                <c:v>27</c:v>
              </c:pt>
              <c:pt idx="2">
                <c:v>19</c:v>
              </c:pt>
              <c:pt idx="3">
                <c:v>14</c:v>
              </c:pt>
              <c:pt idx="4">
                <c:v>4</c:v>
              </c:pt>
            </c:numLit>
          </c:val>
          <c:extLst>
            <c:ext xmlns:c16="http://schemas.microsoft.com/office/drawing/2014/chart" uri="{C3380CC4-5D6E-409C-BE32-E72D297353CC}">
              <c16:uniqueId val="{00000000-8E00-4F37-8936-E8BCF0859864}"/>
            </c:ext>
          </c:extLst>
        </c:ser>
        <c:dLbls>
          <c:showLegendKey val="0"/>
          <c:showVal val="0"/>
          <c:showCatName val="0"/>
          <c:showSerName val="0"/>
          <c:showPercent val="0"/>
          <c:showBubbleSize val="0"/>
        </c:dLbls>
        <c:gapWidth val="70"/>
        <c:axId val="1444558928"/>
        <c:axId val="1444561808"/>
      </c:barChart>
      <c:catAx>
        <c:axId val="14445589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561808"/>
        <c:crosses val="autoZero"/>
        <c:auto val="1"/>
        <c:lblAlgn val="ctr"/>
        <c:lblOffset val="100"/>
        <c:noMultiLvlLbl val="0"/>
      </c:catAx>
      <c:valAx>
        <c:axId val="144456180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55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w="0">
              <a:solidFill>
                <a:schemeClr val="accent1"/>
              </a:solidFill>
            </a:ln>
            <a:effectLst/>
          </c:spPr>
          <c:invertIfNegative val="0"/>
          <c:cat>
            <c:strLit>
              <c:ptCount val="5"/>
              <c:pt idx="0">
                <c:v>Website</c:v>
              </c:pt>
              <c:pt idx="1">
                <c:v>Procurement</c:v>
              </c:pt>
              <c:pt idx="2">
                <c:v>Finance</c:v>
              </c:pt>
              <c:pt idx="3">
                <c:v>Sales</c:v>
              </c:pt>
              <c:pt idx="4">
                <c:v>HR</c:v>
              </c:pt>
            </c:strLit>
          </c:cat>
          <c:val>
            <c:numLit>
              <c:formatCode>General</c:formatCode>
              <c:ptCount val="5"/>
              <c:pt idx="0">
                <c:v>27</c:v>
              </c:pt>
              <c:pt idx="1">
                <c:v>27</c:v>
              </c:pt>
              <c:pt idx="2">
                <c:v>19</c:v>
              </c:pt>
              <c:pt idx="3">
                <c:v>14</c:v>
              </c:pt>
              <c:pt idx="4">
                <c:v>4</c:v>
              </c:pt>
            </c:numLit>
          </c:val>
          <c:extLst>
            <c:ext xmlns:c16="http://schemas.microsoft.com/office/drawing/2014/chart" uri="{C3380CC4-5D6E-409C-BE32-E72D297353CC}">
              <c16:uniqueId val="{00000000-2A44-4818-A38A-7FFBE68C3654}"/>
            </c:ext>
          </c:extLst>
        </c:ser>
        <c:dLbls>
          <c:showLegendKey val="0"/>
          <c:showVal val="0"/>
          <c:showCatName val="0"/>
          <c:showSerName val="0"/>
          <c:showPercent val="0"/>
          <c:showBubbleSize val="0"/>
        </c:dLbls>
        <c:gapWidth val="70"/>
        <c:axId val="1476624992"/>
        <c:axId val="1476625472"/>
      </c:barChart>
      <c:catAx>
        <c:axId val="14766249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625472"/>
        <c:crosses val="autoZero"/>
        <c:auto val="1"/>
        <c:lblAlgn val="ctr"/>
        <c:lblOffset val="100"/>
        <c:noMultiLvlLbl val="0"/>
      </c:catAx>
      <c:valAx>
        <c:axId val="147662547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62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Salary Spread - by $10K</cx:v>
        </cx:txData>
      </cx:tx>
      <cx:spPr>
        <a:solidFill>
          <a:schemeClr val="bg1">
            <a:lumMod val="85000"/>
          </a:schemeClr>
        </a:solidFill>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Salary Spread - by $10K</a:t>
          </a:r>
        </a:p>
      </cx:txPr>
    </cx:title>
    <cx:plotArea>
      <cx:plotAreaRegion>
        <cx:series layoutId="clusteredColumn" uniqueId="{B77DB7C1-33CC-4A16-B064-986E0DADFABC}">
          <cx:tx>
            <cx:txData>
              <cx:f>_xlchart.v1.0</cx:f>
              <cx:v> Salary </cx:v>
            </cx:txData>
          </cx:tx>
          <cx:dataId val="0"/>
          <cx:layoutPr>
            <cx:binning intervalClosed="r" underflow="40000">
              <cx:binSize val="1000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312421</xdr:colOff>
      <xdr:row>3</xdr:row>
      <xdr:rowOff>106680</xdr:rowOff>
    </xdr:from>
    <xdr:to>
      <xdr:col>14</xdr:col>
      <xdr:colOff>304801</xdr:colOff>
      <xdr:row>24</xdr:row>
      <xdr:rowOff>144780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2A6DF59-97AB-4435-BE45-EAB74C6B3B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31621" y="716280"/>
              <a:ext cx="8996680" cy="3905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2</xdr:row>
      <xdr:rowOff>0</xdr:rowOff>
    </xdr:from>
    <xdr:to>
      <xdr:col>10</xdr:col>
      <xdr:colOff>327660</xdr:colOff>
      <xdr:row>14</xdr:row>
      <xdr:rowOff>76200</xdr:rowOff>
    </xdr:to>
    <xdr:graphicFrame macro="">
      <xdr:nvGraphicFramePr>
        <xdr:cNvPr id="3" name="Chart 2">
          <a:extLst>
            <a:ext uri="{FF2B5EF4-FFF2-40B4-BE49-F238E27FC236}">
              <a16:creationId xmlns:a16="http://schemas.microsoft.com/office/drawing/2014/main" id="{897E0E84-2280-CDA3-E638-449058785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601980</xdr:colOff>
      <xdr:row>6</xdr:row>
      <xdr:rowOff>83820</xdr:rowOff>
    </xdr:from>
    <xdr:to>
      <xdr:col>13</xdr:col>
      <xdr:colOff>0</xdr:colOff>
      <xdr:row>24</xdr:row>
      <xdr:rowOff>53340</xdr:rowOff>
    </xdr:to>
    <xdr:graphicFrame macro="">
      <xdr:nvGraphicFramePr>
        <xdr:cNvPr id="2" name="Chart 1">
          <a:extLst>
            <a:ext uri="{FF2B5EF4-FFF2-40B4-BE49-F238E27FC236}">
              <a16:creationId xmlns:a16="http://schemas.microsoft.com/office/drawing/2014/main" id="{3ADB9F7D-8BA8-46C9-84B4-13B076C2F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6</xdr:row>
      <xdr:rowOff>76200</xdr:rowOff>
    </xdr:from>
    <xdr:to>
      <xdr:col>6</xdr:col>
      <xdr:colOff>7620</xdr:colOff>
      <xdr:row>24</xdr:row>
      <xdr:rowOff>22860</xdr:rowOff>
    </xdr:to>
    <xdr:graphicFrame macro="">
      <xdr:nvGraphicFramePr>
        <xdr:cNvPr id="4" name="Chart 3">
          <a:extLst>
            <a:ext uri="{FF2B5EF4-FFF2-40B4-BE49-F238E27FC236}">
              <a16:creationId xmlns:a16="http://schemas.microsoft.com/office/drawing/2014/main" id="{607563FB-25ED-478D-9F9E-86C4C4A0E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0</xdr:row>
      <xdr:rowOff>76200</xdr:rowOff>
    </xdr:from>
    <xdr:to>
      <xdr:col>7</xdr:col>
      <xdr:colOff>9525</xdr:colOff>
      <xdr:row>26</xdr:row>
      <xdr:rowOff>76200</xdr:rowOff>
    </xdr:to>
    <xdr:cxnSp macro="">
      <xdr:nvCxnSpPr>
        <xdr:cNvPr id="6" name="Straight Connector 5">
          <a:extLst>
            <a:ext uri="{FF2B5EF4-FFF2-40B4-BE49-F238E27FC236}">
              <a16:creationId xmlns:a16="http://schemas.microsoft.com/office/drawing/2014/main" id="{9D188FC0-B42B-32C7-F02A-430787B676AA}"/>
            </a:ext>
          </a:extLst>
        </xdr:cNvPr>
        <xdr:cNvCxnSpPr/>
      </xdr:nvCxnSpPr>
      <xdr:spPr>
        <a:xfrm>
          <a:off x="5686425" y="76200"/>
          <a:ext cx="9525" cy="6048375"/>
        </a:xfrm>
        <a:prstGeom prst="line">
          <a:avLst/>
        </a:prstGeom>
        <a:ln>
          <a:solidFill>
            <a:schemeClr val="bg1">
              <a:lumMod val="75000"/>
            </a:schemeClr>
          </a:solidFill>
          <a:prstDash val="sysDash"/>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1</xdr:row>
      <xdr:rowOff>198121</xdr:rowOff>
    </xdr:from>
    <xdr:to>
      <xdr:col>9</xdr:col>
      <xdr:colOff>30480</xdr:colOff>
      <xdr:row>6</xdr:row>
      <xdr:rowOff>167641</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15AB4C33-E67B-286C-0AA2-6BA65EE9EE1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812280" y="381001"/>
              <a:ext cx="155448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chhabra" refreshedDate="46031.735243402778" backgroundQuery="1" createdVersion="8" refreshedVersion="8" minRefreshableVersion="3" recordCount="0" supportSubquery="1" supportAdvancedDrill="1" xr:uid="{18A98038-3B0C-4D08-985A-2D1696542637}">
  <cacheSource type="external" connectionId="4"/>
  <cacheFields count="3">
    <cacheField name="[all_staff].[Rating].[Rating]" caption="Rating" numFmtId="0" hierarchy="3" level="1">
      <sharedItems count="5">
        <s v="Above average"/>
        <s v="Average"/>
        <s v="Exceptional"/>
        <s v="Poor"/>
        <s v="Very poor"/>
      </sharedItems>
    </cacheField>
    <cacheField name="[Measures].[Count of Name]" caption="Count of Name" numFmtId="0" hierarchy="15" level="32767"/>
    <cacheField name="[Measures].[Average of Salary]" caption="Average of Salary" numFmtId="0" hierarchy="19" level="32767"/>
  </cacheFields>
  <cacheHierarchies count="22">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Rating]" caption="Rating" attribute="1" defaultMemberUniqueName="[all_staff].[Rating].[All]" allUniqueName="[all_staff].[Rating].[All]" dimensionUniqueName="[all_staff]" displayFolder="" count="2" memberValueDatatype="130" unbalanced="0">
      <fieldsUsage count="2">
        <fieldUsage x="-1"/>
        <fieldUsage x="0"/>
      </fieldsUsage>
    </cacheHierarchy>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Salary]" caption="Salary" attribute="1" defaultMemberUniqueName="[all_staff].[Salary].[All]" allUniqueName="[all_staff].[Salary].[All]" dimensionUniqueName="[all_staff]" displayFolder="" count="0" memberValueDatatype="20" unbalanced="0"/>
    <cacheHierarchy uniqueName="[all_staff].[Country]" caption="Country" attribute="1" defaultMemberUniqueName="[all_staff].[Country].[All]" allUniqueName="[all_staff].[Country].[All]" dimensionUniqueName="[all_staff]" displayFolder="" count="0" memberValueDatatype="130" unbalanced="0"/>
    <cacheHierarchy uniqueName="[all_staff].[Tenure]" caption="Tenure" attribute="1" defaultMemberUniqueName="[all_staff].[Tenure].[All]" allUniqueName="[all_staff].[Tenure].[All]" dimensionUniqueName="[all_staff]" displayFolder="" count="0" memberValueDatatype="5" unbalanced="0"/>
    <cacheHierarchy uniqueName="[all_staff].[Date Joined (Year)]" caption="Date Joined (Year)" attribute="1" defaultMemberUniqueName="[all_staff].[Date Joined (Year)].[All]" allUniqueName="[all_staff].[Date Joined (Year)].[All]" dimensionUniqueName="[all_staff]" displayFolder="" count="0" memberValueDatatype="130" unbalanced="0"/>
    <cacheHierarchy uniqueName="[all_staff].[Date Joined (Quarter)]" caption="Date Joined (Quarter)" attribute="1" defaultMemberUniqueName="[all_staff].[Date Joined (Quarter)].[All]" allUniqueName="[all_staff].[Date Joined (Quarter)].[All]" dimensionUniqueName="[all_staff]" displayFolder="" count="0" memberValueDatatype="130" unbalanced="0"/>
    <cacheHierarchy uniqueName="[all_staff].[Date Joined (Month)]" caption="Date Joined (Month)" attribute="1" defaultMemberUniqueName="[all_staff].[Date Joined (Month)].[All]" allUniqueName="[all_staff].[Date Joined (Month)].[All]" dimensionUniqueName="[all_staff]" displayFolder="" count="0" memberValueDatatype="130" unbalanced="0"/>
    <cacheHierarchy uniqueName="[all_staff].[Date Joined (Month Index)]" caption="Date Joined (Month Index)" attribute="1" defaultMemberUniqueName="[all_staff].[Date Joined (Month Index)].[All]" allUniqueName="[all_staff].[Date Joined (Month Index)].[All]" dimensionUniqueName="[all_staff]" displayFolder="" count="0" memberValueDatatype="20" unbalanced="0" hidden="1"/>
    <cacheHierarchy uniqueName="[Measures].[__XL_Count all_staff]" caption="__XL_Count all_staff" measure="1" displayFolder="" measureGroup="all_staff" count="0" hidden="1"/>
    <cacheHierarchy uniqueName="[Measures].[__No measures defined]" caption="__No measures defined" measure="1" displayFolder="" count="0" hidden="1"/>
    <cacheHierarchy uniqueName="[Measures].[Count of Name]" caption="Count of Name" measure="1" displayFolder="" measureGroup="all_staff"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all_staff"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hidden="1">
      <extLst>
        <ext xmlns:x15="http://schemas.microsoft.com/office/spreadsheetml/2010/11/main" uri="{B97F6D7D-B522-45F9-BDA1-12C45D357490}">
          <x15:cacheHierarchy aggregatedColumn="8"/>
        </ext>
      </extLst>
    </cacheHierarchy>
  </cacheHierarchies>
  <kpis count="0"/>
  <dimensions count="2">
    <dimension name="all_staff" uniqueName="[all_staff]" caption="all_staff"/>
    <dimension measure="1" name="Measures" uniqueName="[Measures]" caption="Measures"/>
  </dimensions>
  <measureGroups count="1">
    <measureGroup name="all_staff" caption="all_staff"/>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chhabra" refreshedDate="46031.735244444448" backgroundQuery="1" createdVersion="8" refreshedVersion="8" minRefreshableVersion="3" recordCount="0" supportSubquery="1" supportAdvancedDrill="1" xr:uid="{7D59DD9B-5552-48AD-BFFA-E1E65837AD8B}">
  <cacheSource type="external" connectionId="4"/>
  <cacheFields count="6">
    <cacheField name="[all_staff].[Gender].[Gender]" caption="Gender" numFmtId="0" hierarchy="1" level="1">
      <sharedItems count="3">
        <s v="Female"/>
        <s v="Male"/>
        <s v="Other" u="1"/>
      </sharedItems>
    </cacheField>
    <cacheField name="[Measures].[Count of Name]" caption="Count of Name" numFmtId="0" hierarchy="15" level="32767"/>
    <cacheField name="[Measures].[Average of Age]" caption="Average of Age" numFmtId="0" hierarchy="17" level="32767"/>
    <cacheField name="[Measures].[Average of Salary]" caption="Average of Salary" numFmtId="0" hierarchy="19" level="32767"/>
    <cacheField name="[Measures].[Average of Tenure]" caption="Average of Tenure" numFmtId="0" hierarchy="21" level="32767"/>
    <cacheField name="[all_staff].[Country].[Country]" caption="Country" numFmtId="0" hierarchy="7" level="1">
      <sharedItems containsSemiMixedTypes="0" containsNonDate="0" containsString="0"/>
    </cacheField>
  </cacheFields>
  <cacheHierarchies count="22">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2" memberValueDatatype="130" unbalanced="0">
      <fieldsUsage count="2">
        <fieldUsage x="-1"/>
        <fieldUsage x="0"/>
      </fieldsUsage>
    </cacheHierarchy>
    <cacheHierarchy uniqueName="[all_staff].[Age]" caption="Age" attribute="1" defaultMemberUniqueName="[all_staff].[Age].[All]" allUniqueName="[all_staff].[Age].[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Salary]" caption="Salary" attribute="1" defaultMemberUniqueName="[all_staff].[Salary].[All]" allUniqueName="[all_staff].[Salary].[All]" dimensionUniqueName="[all_staff]" displayFolder="" count="0" memberValueDatatype="20" unbalanced="0"/>
    <cacheHierarchy uniqueName="[all_staff].[Country]" caption="Country" attribute="1" defaultMemberUniqueName="[all_staff].[Country].[All]" allUniqueName="[all_staff].[Country].[All]" dimensionUniqueName="[all_staff]" displayFolder="" count="2" memberValueDatatype="130" unbalanced="0">
      <fieldsUsage count="2">
        <fieldUsage x="-1"/>
        <fieldUsage x="5"/>
      </fieldsUsage>
    </cacheHierarchy>
    <cacheHierarchy uniqueName="[all_staff].[Tenure]" caption="Tenure" attribute="1" defaultMemberUniqueName="[all_staff].[Tenure].[All]" allUniqueName="[all_staff].[Tenure].[All]" dimensionUniqueName="[all_staff]" displayFolder="" count="0" memberValueDatatype="5" unbalanced="0"/>
    <cacheHierarchy uniqueName="[all_staff].[Date Joined (Year)]" caption="Date Joined (Year)" attribute="1" defaultMemberUniqueName="[all_staff].[Date Joined (Year)].[All]" allUniqueName="[all_staff].[Date Joined (Year)].[All]" dimensionUniqueName="[all_staff]" displayFolder="" count="0" memberValueDatatype="130" unbalanced="0"/>
    <cacheHierarchy uniqueName="[all_staff].[Date Joined (Quarter)]" caption="Date Joined (Quarter)" attribute="1" defaultMemberUniqueName="[all_staff].[Date Joined (Quarter)].[All]" allUniqueName="[all_staff].[Date Joined (Quarter)].[All]" dimensionUniqueName="[all_staff]" displayFolder="" count="0" memberValueDatatype="130" unbalanced="0"/>
    <cacheHierarchy uniqueName="[all_staff].[Date Joined (Month)]" caption="Date Joined (Month)" attribute="1" defaultMemberUniqueName="[all_staff].[Date Joined (Month)].[All]" allUniqueName="[all_staff].[Date Joined (Month)].[All]" dimensionUniqueName="[all_staff]" displayFolder="" count="0" memberValueDatatype="130" unbalanced="0"/>
    <cacheHierarchy uniqueName="[all_staff].[Date Joined (Month Index)]" caption="Date Joined (Month Index)" attribute="1" defaultMemberUniqueName="[all_staff].[Date Joined (Month Index)].[All]" allUniqueName="[all_staff].[Date Joined (Month Index)].[All]" dimensionUniqueName="[all_staff]" displayFolder="" count="0" memberValueDatatype="20" unbalanced="0" hidden="1"/>
    <cacheHierarchy uniqueName="[Measures].[__XL_Count all_staff]" caption="__XL_Count all_staff" measure="1" displayFolder="" measureGroup="all_staff" count="0" hidden="1"/>
    <cacheHierarchy uniqueName="[Measures].[__No measures defined]" caption="__No measures defined" measure="1" displayFolder="" count="0" hidden="1"/>
    <cacheHierarchy uniqueName="[Measures].[Count of Name]" caption="Count of Name" measure="1" displayFolder="" measureGroup="all_staff"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all_staff"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all_staff"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oneField="1" hidden="1">
      <fieldsUsage count="1">
        <fieldUsage x="4"/>
      </fieldsUsage>
      <extLst>
        <ext xmlns:x15="http://schemas.microsoft.com/office/spreadsheetml/2010/11/main" uri="{B97F6D7D-B522-45F9-BDA1-12C45D357490}">
          <x15:cacheHierarchy aggregatedColumn="8"/>
        </ext>
      </extLst>
    </cacheHierarchy>
  </cacheHierarchies>
  <kpis count="0"/>
  <dimensions count="2">
    <dimension name="all_staff" uniqueName="[all_staff]" caption="all_staff"/>
    <dimension measure="1" name="Measures" uniqueName="[Measures]" caption="Measures"/>
  </dimensions>
  <measureGroups count="1">
    <measureGroup name="all_staff" caption="all_staff"/>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chhabra" refreshedDate="46031.739599421293" backgroundQuery="1" createdVersion="8" refreshedVersion="8" minRefreshableVersion="3" recordCount="0" supportSubquery="1" supportAdvancedDrill="1" xr:uid="{39E9DF17-91C5-495C-A0E9-64301A7DC2DE}">
  <cacheSource type="external" connectionId="4"/>
  <cacheFields count="3">
    <cacheField name="[all_staff].[Date Joined (Month)].[Date Joined (Month)]" caption="Date Joined (Month)" numFmtId="0" hierarchy="11" level="1">
      <sharedItems count="12">
        <s v="May"/>
        <s v="Jun"/>
        <s v="Jul"/>
        <s v="Aug"/>
        <s v="Sep"/>
        <s v="Oct"/>
        <s v="Nov"/>
        <s v="Dec"/>
        <s v="Jan"/>
        <s v="Feb"/>
        <s v="Mar"/>
        <s v="Apr"/>
      </sharedItems>
    </cacheField>
    <cacheField name="[all_staff].[Date Joined (Year)].[Date Joined (Year)]" caption="Date Joined (Year)" numFmtId="0" hierarchy="9" level="1">
      <sharedItems count="4">
        <s v="2020"/>
        <s v="2021"/>
        <s v="2022"/>
        <s v="2023"/>
      </sharedItems>
    </cacheField>
    <cacheField name="[Measures].[Count of Name]" caption="Count of Name" numFmtId="0" hierarchy="15" level="32767"/>
  </cacheFields>
  <cacheHierarchies count="22">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2" memberValueDatatype="7"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Salary]" caption="Salary" attribute="1" defaultMemberUniqueName="[all_staff].[Salary].[All]" allUniqueName="[all_staff].[Salary].[All]" dimensionUniqueName="[all_staff]" displayFolder="" count="0" memberValueDatatype="20" unbalanced="0"/>
    <cacheHierarchy uniqueName="[all_staff].[Country]" caption="Country" attribute="1" defaultMemberUniqueName="[all_staff].[Country].[All]" allUniqueName="[all_staff].[Country].[All]" dimensionUniqueName="[all_staff]" displayFolder="" count="0" memberValueDatatype="130" unbalanced="0"/>
    <cacheHierarchy uniqueName="[all_staff].[Tenure]" caption="Tenure" attribute="1" defaultMemberUniqueName="[all_staff].[Tenure].[All]" allUniqueName="[all_staff].[Tenure].[All]" dimensionUniqueName="[all_staff]" displayFolder="" count="0" memberValueDatatype="5" unbalanced="0"/>
    <cacheHierarchy uniqueName="[all_staff].[Date Joined (Year)]" caption="Date Joined (Year)" attribute="1" defaultMemberUniqueName="[all_staff].[Date Joined (Year)].[All]" allUniqueName="[all_staff].[Date Joined (Year)].[All]" dimensionUniqueName="[all_staff]" displayFolder="" count="2" memberValueDatatype="130" unbalanced="0">
      <fieldsUsage count="2">
        <fieldUsage x="-1"/>
        <fieldUsage x="1"/>
      </fieldsUsage>
    </cacheHierarchy>
    <cacheHierarchy uniqueName="[all_staff].[Date Joined (Quarter)]" caption="Date Joined (Quarter)" attribute="1" defaultMemberUniqueName="[all_staff].[Date Joined (Quarter)].[All]" allUniqueName="[all_staff].[Date Joined (Quarter)].[All]" dimensionUniqueName="[all_staff]" displayFolder="" count="2" memberValueDatatype="130" unbalanced="0"/>
    <cacheHierarchy uniqueName="[all_staff].[Date Joined (Month)]" caption="Date Joined (Month)" attribute="1" defaultMemberUniqueName="[all_staff].[Date Joined (Month)].[All]" allUniqueName="[all_staff].[Date Joined (Month)].[All]" dimensionUniqueName="[all_staff]" displayFolder="" count="2" memberValueDatatype="130" unbalanced="0">
      <fieldsUsage count="2">
        <fieldUsage x="-1"/>
        <fieldUsage x="0"/>
      </fieldsUsage>
    </cacheHierarchy>
    <cacheHierarchy uniqueName="[all_staff].[Date Joined (Month Index)]" caption="Date Joined (Month Index)" attribute="1" defaultMemberUniqueName="[all_staff].[Date Joined (Month Index)].[All]" allUniqueName="[all_staff].[Date Joined (Month Index)].[All]" dimensionUniqueName="[all_staff]" displayFolder="" count="0" memberValueDatatype="20" unbalanced="0" hidden="1"/>
    <cacheHierarchy uniqueName="[Measures].[__XL_Count all_staff]" caption="__XL_Count all_staff" measure="1" displayFolder="" measureGroup="all_staff" count="0" hidden="1"/>
    <cacheHierarchy uniqueName="[Measures].[__No measures defined]" caption="__No measures defined" measure="1" displayFolder="" count="0" hidden="1"/>
    <cacheHierarchy uniqueName="[Measures].[Count of Name]" caption="Count of Name" measure="1" displayFolder="" measureGroup="all_staff"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all_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hidden="1">
      <extLst>
        <ext xmlns:x15="http://schemas.microsoft.com/office/spreadsheetml/2010/11/main" uri="{B97F6D7D-B522-45F9-BDA1-12C45D357490}">
          <x15:cacheHierarchy aggregatedColumn="8"/>
        </ext>
      </extLst>
    </cacheHierarchy>
  </cacheHierarchies>
  <kpis count="0"/>
  <dimensions count="2">
    <dimension name="all_staff" uniqueName="[all_staff]" caption="all_staff"/>
    <dimension measure="1" name="Measures" uniqueName="[Measures]" caption="Measures"/>
  </dimensions>
  <measureGroups count="1">
    <measureGroup name="all_staff" caption="all_staff"/>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chhabra" refreshedDate="46031.73524386574" backgroundQuery="1" createdVersion="3" refreshedVersion="8" minRefreshableVersion="3" recordCount="0" supportSubquery="1" supportAdvancedDrill="1" xr:uid="{0D7F5720-C9E3-4779-8BC5-24FB7ABFC0E6}">
  <cacheSource type="external" connectionId="4">
    <extLst>
      <ext xmlns:x14="http://schemas.microsoft.com/office/spreadsheetml/2009/9/main" uri="{F057638F-6D5F-4e77-A914-E7F072B9BCA8}">
        <x14:sourceConnection name="ThisWorkbookDataModel"/>
      </ext>
    </extLst>
  </cacheSource>
  <cacheFields count="0"/>
  <cacheHierarchies count="22">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Salary]" caption="Salary" attribute="1" defaultMemberUniqueName="[all_staff].[Salary].[All]" allUniqueName="[all_staff].[Salary].[All]" dimensionUniqueName="[all_staff]" displayFolder="" count="0" memberValueDatatype="20" unbalanced="0"/>
    <cacheHierarchy uniqueName="[all_staff].[Country]" caption="Country" attribute="1" defaultMemberUniqueName="[all_staff].[Country].[All]" allUniqueName="[all_staff].[Country].[All]" dimensionUniqueName="[all_staff]" displayFolder="" count="2" memberValueDatatype="130" unbalanced="0"/>
    <cacheHierarchy uniqueName="[all_staff].[Tenure]" caption="Tenure" attribute="1" defaultMemberUniqueName="[all_staff].[Tenure].[All]" allUniqueName="[all_staff].[Tenure].[All]" dimensionUniqueName="[all_staff]" displayFolder="" count="0" memberValueDatatype="5" unbalanced="0"/>
    <cacheHierarchy uniqueName="[all_staff].[Date Joined (Year)]" caption="Date Joined (Year)" attribute="1" defaultMemberUniqueName="[all_staff].[Date Joined (Year)].[All]" allUniqueName="[all_staff].[Date Joined (Year)].[All]" dimensionUniqueName="[all_staff]" displayFolder="" count="0" memberValueDatatype="130" unbalanced="0"/>
    <cacheHierarchy uniqueName="[all_staff].[Date Joined (Quarter)]" caption="Date Joined (Quarter)" attribute="1" defaultMemberUniqueName="[all_staff].[Date Joined (Quarter)].[All]" allUniqueName="[all_staff].[Date Joined (Quarter)].[All]" dimensionUniqueName="[all_staff]" displayFolder="" count="0" memberValueDatatype="130" unbalanced="0"/>
    <cacheHierarchy uniqueName="[all_staff].[Date Joined (Month)]" caption="Date Joined (Month)" attribute="1" defaultMemberUniqueName="[all_staff].[Date Joined (Month)].[All]" allUniqueName="[all_staff].[Date Joined (Month)].[All]" dimensionUniqueName="[all_staff]" displayFolder="" count="0" memberValueDatatype="130" unbalanced="0"/>
    <cacheHierarchy uniqueName="[all_staff].[Date Joined (Month Index)]" caption="Date Joined (Month Index)" attribute="1" defaultMemberUniqueName="[all_staff].[Date Joined (Month Index)].[All]" allUniqueName="[all_staff].[Date Joined (Month Index)].[All]" dimensionUniqueName="[all_staff]" displayFolder="" count="0" memberValueDatatype="20" unbalanced="0" hidden="1"/>
    <cacheHierarchy uniqueName="[Measures].[__XL_Count all_staff]" caption="__XL_Count all_staff" measure="1" displayFolder="" measureGroup="all_staff" count="0" hidden="1"/>
    <cacheHierarchy uniqueName="[Measures].[__No measures defined]" caption="__No measures defined" measure="1" displayFolder="" count="0" hidden="1"/>
    <cacheHierarchy uniqueName="[Measures].[Count of Name]" caption="Count of Name" measure="1" displayFolder="" measureGroup="all_staff"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all_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2309744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3486C3-4B8F-42FA-A8ED-81A0BD2CEF3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2:E7" firstHeaderRow="0" firstDataRow="1" firstDataCol="1"/>
  <pivotFields count="3">
    <pivotField axis="axisRow" allDrilled="1" subtotalTop="0" showAll="0" defaultSubtotal="0" defaultAttributeDrillState="1">
      <items count="5">
        <item x="2"/>
        <item x="0"/>
        <item x="1"/>
        <item x="3"/>
        <item x="4"/>
      </items>
    </pivotField>
    <pivotField dataField="1" subtotalTop="0" showAll="0" defaultSubtotal="0"/>
    <pivotField dataField="1" subtotalTop="0" showAll="0" defaultSubtotal="0"/>
  </pivotFields>
  <rowFields count="1">
    <field x="0"/>
  </rowFields>
  <rowItems count="5">
    <i>
      <x/>
    </i>
    <i>
      <x v="1"/>
    </i>
    <i>
      <x v="2"/>
    </i>
    <i>
      <x v="3"/>
    </i>
    <i>
      <x v="4"/>
    </i>
  </rowItems>
  <colFields count="1">
    <field x="-2"/>
  </colFields>
  <colItems count="2">
    <i>
      <x/>
    </i>
    <i i="1">
      <x v="1"/>
    </i>
  </colItems>
  <dataFields count="2">
    <dataField name="Count of employees" fld="1" subtotal="count" baseField="0" baseItem="0"/>
    <dataField name="Average of Salary" fld="2" subtotal="average" baseField="0" baseItem="0" numFmtId="169"/>
  </dataFields>
  <formats count="2">
    <format dxfId="18">
      <pivotArea dataOnly="0" outline="0" fieldPosition="0">
        <references count="1">
          <reference field="4294967294" count="1">
            <x v="1"/>
          </reference>
        </references>
      </pivotArea>
    </format>
    <format dxfId="17">
      <pivotArea outline="0" fieldPosition="0">
        <references count="1">
          <reference field="4294967294" count="1">
            <x v="1"/>
          </reference>
        </references>
      </pivotArea>
    </format>
  </formats>
  <conditionalFormats count="2">
    <conditionalFormat priority="1">
      <pivotAreas count="1">
        <pivotArea type="data" outline="0" collapsedLevelsAreSubtotals="1" fieldPosition="0">
          <references count="1">
            <reference field="4294967294" count="1" selected="0">
              <x v="1"/>
            </reference>
          </references>
        </pivotArea>
      </pivotAreas>
    </conditionalFormat>
    <conditionalFormat scope="field" priority="3">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unt of employees"/>
    <pivotHierarchy dragToData="1"/>
    <pivotHierarchy dragToData="1"/>
    <pivotHierarchy dragToData="1"/>
    <pivotHierarchy dragToData="1" caption="Average of Salary"/>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22681-5888-4C3C-915D-6F9B0B6B111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C4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item x="1"/>
        <item x="2"/>
        <item x="3"/>
      </items>
    </pivotField>
    <pivotField dataField="1" subtotalTop="0" showAll="0" defaultSubtotal="0"/>
  </pivotFields>
  <rowFields count="2">
    <field x="1"/>
    <field x="0"/>
  </rowFields>
  <rowItems count="37">
    <i>
      <x/>
    </i>
    <i r="1">
      <x/>
    </i>
    <i r="1">
      <x v="1"/>
    </i>
    <i r="1">
      <x v="2"/>
    </i>
    <i r="1">
      <x v="3"/>
    </i>
    <i r="1">
      <x v="4"/>
    </i>
    <i r="1">
      <x v="5"/>
    </i>
    <i r="1">
      <x v="6"/>
    </i>
    <i r="1">
      <x v="7"/>
    </i>
    <i>
      <x v="1"/>
    </i>
    <i r="1">
      <x v="8"/>
    </i>
    <i r="1">
      <x v="9"/>
    </i>
    <i r="1">
      <x v="10"/>
    </i>
    <i r="1">
      <x v="11"/>
    </i>
    <i r="1">
      <x/>
    </i>
    <i r="1">
      <x v="1"/>
    </i>
    <i r="1">
      <x v="2"/>
    </i>
    <i r="1">
      <x v="3"/>
    </i>
    <i r="1">
      <x v="4"/>
    </i>
    <i r="1">
      <x v="5"/>
    </i>
    <i r="1">
      <x v="6"/>
    </i>
    <i r="1">
      <x v="7"/>
    </i>
    <i>
      <x v="2"/>
    </i>
    <i r="1">
      <x v="8"/>
    </i>
    <i r="1">
      <x v="9"/>
    </i>
    <i r="1">
      <x v="10"/>
    </i>
    <i r="1">
      <x v="11"/>
    </i>
    <i r="1">
      <x/>
    </i>
    <i r="1">
      <x v="1"/>
    </i>
    <i r="1">
      <x v="2"/>
    </i>
    <i r="1">
      <x v="3"/>
    </i>
    <i r="1">
      <x v="4"/>
    </i>
    <i r="1">
      <x v="5"/>
    </i>
    <i>
      <x v="3"/>
    </i>
    <i r="1">
      <x v="9"/>
    </i>
    <i r="1">
      <x v="11"/>
    </i>
    <i t="grand">
      <x/>
    </i>
  </rowItems>
  <colItems count="1">
    <i/>
  </colItems>
  <dataFields count="1">
    <dataField name="Count of Name" fld="2" subtotal="count" showDataAs="runTotal" baseField="0" baseItem="0"/>
  </dataFields>
  <chartFormats count="1">
    <chartFormat chart="6"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58A02E-694A-4FE9-BBC8-823F88A615C1}" name="PivotTable3" cacheId="1"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E9:G14" firstHeaderRow="1" firstDataRow="2" firstDataCol="1"/>
  <pivotFields count="6">
    <pivotField axis="axisCol" allDrilled="1" subtotalTop="0" showAll="0" dataSourceSort="1" defaultSubtotal="0" defaultAttributeDrillState="1">
      <items count="3">
        <item s="1" x="0"/>
        <item s="1"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Fields count="1">
    <field x="0"/>
  </colFields>
  <colItems count="2">
    <i>
      <x/>
    </i>
    <i>
      <x v="1"/>
    </i>
  </colItems>
  <dataFields count="4">
    <dataField name="Count" fld="1" subtotal="count" baseField="0" baseItem="0" numFmtId="1"/>
    <dataField name="Averages of Age" fld="2" subtotal="average" baseField="0" baseItem="0" numFmtId="165"/>
    <dataField name="Average of Salary" fld="3" subtotal="average" baseField="0" baseItem="0" numFmtId="167"/>
    <dataField name="Average of Tenure" fld="4" subtotal="average" baseField="0" baseItem="0" numFmtId="2"/>
  </dataFields>
  <formats count="16">
    <format dxfId="16">
      <pivotArea field="0" grandCol="1" collapsedLevelsAreSubtotals="1" axis="axisCol" fieldPosition="0">
        <references count="1">
          <reference field="4294967294" count="1">
            <x v="2"/>
          </reference>
        </references>
      </pivotArea>
    </format>
    <format dxfId="15">
      <pivotArea field="0" grandCol="1" collapsedLevelsAreSubtotals="1" axis="axisCol" fieldPosition="0">
        <references count="1">
          <reference field="4294967294" count="1">
            <x v="1"/>
          </reference>
        </references>
      </pivotArea>
    </format>
    <format dxfId="14">
      <pivotArea collapsedLevelsAreSubtotals="1" fieldPosition="0">
        <references count="2">
          <reference field="4294967294" count="1">
            <x v="1"/>
          </reference>
          <reference field="0" count="1" selected="0">
            <x v="2"/>
          </reference>
        </references>
      </pivotArea>
    </format>
    <format dxfId="13">
      <pivotArea collapsedLevelsAreSubtotals="1" fieldPosition="0">
        <references count="2">
          <reference field="4294967294" count="1">
            <x v="1"/>
          </reference>
          <reference field="0" count="1" selected="0">
            <x v="1"/>
          </reference>
        </references>
      </pivotArea>
    </format>
    <format dxfId="12">
      <pivotArea collapsedLevelsAreSubtotals="1" fieldPosition="0">
        <references count="2">
          <reference field="4294967294" count="1">
            <x v="1"/>
          </reference>
          <reference field="0" count="1" selected="0">
            <x v="0"/>
          </reference>
        </references>
      </pivotArea>
    </format>
    <format dxfId="11">
      <pivotArea collapsedLevelsAreSubtotals="1" fieldPosition="0">
        <references count="2">
          <reference field="4294967294" count="1">
            <x v="3"/>
          </reference>
          <reference field="0" count="1" selected="0">
            <x v="2"/>
          </reference>
        </references>
      </pivotArea>
    </format>
    <format dxfId="10">
      <pivotArea field="0" grandCol="1" collapsedLevelsAreSubtotals="1" axis="axisCol" fieldPosition="0">
        <references count="1">
          <reference field="4294967294" count="1">
            <x v="3"/>
          </reference>
        </references>
      </pivotArea>
    </format>
    <format dxfId="9">
      <pivotArea collapsedLevelsAreSubtotals="1" fieldPosition="0">
        <references count="2">
          <reference field="4294967294" count="1">
            <x v="3"/>
          </reference>
          <reference field="0" count="1" selected="0">
            <x v="1"/>
          </reference>
        </references>
      </pivotArea>
    </format>
    <format dxfId="8">
      <pivotArea collapsedLevelsAreSubtotals="1" fieldPosition="0">
        <references count="2">
          <reference field="4294967294" count="1">
            <x v="3"/>
          </reference>
          <reference field="0" count="1" selected="0">
            <x v="0"/>
          </reference>
        </references>
      </pivotArea>
    </format>
    <format dxfId="7">
      <pivotArea outline="0" fieldPosition="0">
        <references count="1">
          <reference field="4294967294" count="1">
            <x v="0"/>
          </reference>
        </references>
      </pivotArea>
    </format>
    <format dxfId="6">
      <pivotArea outline="0" fieldPosition="0">
        <references count="1">
          <reference field="4294967294" count="1">
            <x v="1"/>
          </reference>
        </references>
      </pivotArea>
    </format>
    <format dxfId="5">
      <pivotArea outline="0" fieldPosition="0">
        <references count="1">
          <reference field="4294967294" count="1">
            <x v="2"/>
          </reference>
        </references>
      </pivotArea>
    </format>
    <format dxfId="4">
      <pivotArea collapsedLevelsAreSubtotals="1" fieldPosition="0">
        <references count="1">
          <reference field="4294967294" count="1">
            <x v="2"/>
          </reference>
        </references>
      </pivotArea>
    </format>
    <format dxfId="3">
      <pivotArea outline="0" fieldPosition="0">
        <references count="1">
          <reference field="4294967294" count="1">
            <x v="3"/>
          </reference>
        </references>
      </pivotArea>
    </format>
    <format dxfId="2">
      <pivotArea collapsedLevelsAreSubtotals="1" fieldPosition="0">
        <references count="2">
          <reference field="4294967294" count="1">
            <x v="2"/>
          </reference>
          <reference field="0" count="1" selected="0">
            <x v="0"/>
          </reference>
        </references>
      </pivotArea>
    </format>
    <format dxfId="1">
      <pivotArea collapsedLevelsAreSubtotals="1" fieldPosition="0">
        <references count="2">
          <reference field="4294967294" count="1">
            <x v="2"/>
          </reference>
          <reference field="0" count="1" selected="0">
            <x v="0"/>
          </reference>
        </references>
      </pivotArea>
    </format>
  </formats>
  <pivotHierarchies count="22">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ll_staff].[Country].&amp;[NZ]"/>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unt"/>
    <pivotHierarchy dragToData="1"/>
    <pivotHierarchy dragToData="1" caption="Averages of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ank-data-file.xlsx!all_staff">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BD0AC9-AD11-4E4E-B574-4475FD7C046F}" autoFormatId="16" applyNumberFormats="0" applyBorderFormats="0" applyFontFormats="0" applyPatternFormats="0" applyAlignmentFormats="0" applyWidthHeightFormats="0">
  <queryTableRefresh nextId="12" unboundColumnsRight="2">
    <queryTableFields count="10">
      <queryTableField id="1" name="Name" tableColumnId="1"/>
      <queryTableField id="2" name="Gender" tableColumnId="2"/>
      <queryTableField id="3" name="Age" tableColumnId="3"/>
      <queryTableField id="4" name="Rating" tableColumnId="4"/>
      <queryTableField id="5" name="Date Joined" tableColumnId="5"/>
      <queryTableField id="6" name="Department" tableColumnId="6"/>
      <queryTableField id="7" name="Salary" tableColumnId="7"/>
      <queryTableField id="8" name="Country"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BB2678A-2DD1-45ED-9619-22295D5DDCD8}" sourceName="[all_staff].[Country]">
  <pivotTables>
    <pivotTable tabId="6" name="PivotTable3"/>
  </pivotTables>
  <data>
    <olap pivotCacheId="1230974426">
      <levels count="2">
        <level uniqueName="[all_staff].[Country].[(All)]" sourceCaption="(All)" count="0"/>
        <level uniqueName="[all_staff].[Country].[Country]" sourceCaption="Country" count="2">
          <ranges>
            <range startItem="0">
              <i n="[all_staff].[Country].&amp;[IND]" c="IND"/>
              <i n="[all_staff].[Country].&amp;[NZ]" c="NZ"/>
            </range>
          </ranges>
        </level>
      </levels>
      <selections count="1">
        <selection n="[all_staff].[Country].&amp;[NZ]"/>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A587030-0A96-496D-816C-11333961B6D4}" cache="Slicer_Country" caption="Country" level="1"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2CE3F0-BDE9-4F19-878C-A953E5E6589B}" name="NZ" displayName="NZ" ref="C5:I106" totalsRowCount="1">
  <autoFilter ref="C5:I105" xr:uid="{8D2CE3F0-BDE9-4F19-878C-A953E5E6589B}"/>
  <tableColumns count="7">
    <tableColumn id="1" xr3:uid="{C05EF5D4-1EA1-4B22-9B7C-B684CF7EE314}" name="Name" totalsRowLabel="Total"/>
    <tableColumn id="2" xr3:uid="{B200D55B-9319-436C-92F6-B7E3545E5058}" name="Gender"/>
    <tableColumn id="3" xr3:uid="{2DB70696-30DE-432D-876C-6B6169985DE1}" name="Department"/>
    <tableColumn id="4" xr3:uid="{B75CBEAB-E4D1-4274-B8EB-C8FAC633514B}" name="Age" totalsRowFunction="average"/>
    <tableColumn id="5" xr3:uid="{8A62926F-9C34-441C-8E7E-C4135946523F}" name="Date Joined"/>
    <tableColumn id="6" xr3:uid="{D750C69A-6542-41B4-9BE7-CF0E5D4BE347}" name="Salary" totalsRowFunction="average" dataDxfId="24"/>
    <tableColumn id="7" xr3:uid="{7C169A37-9BD5-4256-B42D-4211F6E24D6A}" name="Rating" totalsRowFunction="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39E6B9-B659-4BF2-AFAC-5A2BD310FDE8}" name="india" displayName="india" ref="B2:H114" totalsRowShown="0">
  <autoFilter ref="B2:H114" xr:uid="{1539E6B9-B659-4BF2-AFAC-5A2BD310FDE8}"/>
  <tableColumns count="7">
    <tableColumn id="1" xr3:uid="{D299EB5B-6068-44F6-80A0-5476B51A1EAA}" name="Name"/>
    <tableColumn id="2" xr3:uid="{CFFB1EB3-D3EE-4F4E-A79D-0D4F5326A27D}" name="Gender"/>
    <tableColumn id="3" xr3:uid="{DC58387D-7669-428B-B3E6-603A7C2352E2}" name="Age"/>
    <tableColumn id="4" xr3:uid="{75A42928-F647-4C62-8198-17D2FEC95160}" name="Rating"/>
    <tableColumn id="5" xr3:uid="{576361DE-46C8-4056-93FD-1E5E9FF0D5D9}" name="Date Joined" dataDxfId="23"/>
    <tableColumn id="6" xr3:uid="{831C6045-793F-48E1-BDAA-16F9CD67070C}" name="Department"/>
    <tableColumn id="7" xr3:uid="{795D8928-695B-4A48-8419-47923ED20E30}" name="Salary"/>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502F97-4167-45D8-8F4C-5134E7DC5735}" name="all_staff" displayName="all_staff" ref="A1:J184" tableType="queryTable" totalsRowShown="0">
  <autoFilter ref="A1:J184" xr:uid="{4A502F97-4167-45D8-8F4C-5134E7DC5735}"/>
  <sortState xmlns:xlrd2="http://schemas.microsoft.com/office/spreadsheetml/2017/richdata2" ref="A2:J184">
    <sortCondition descending="1" ref="G1:G184"/>
  </sortState>
  <tableColumns count="10">
    <tableColumn id="1" xr3:uid="{6C30176E-48D2-45C3-B14A-2B2914F48898}" uniqueName="1" name="Name" queryTableFieldId="1"/>
    <tableColumn id="2" xr3:uid="{A8149AF8-F528-4853-B6DA-2FA12E69F256}" uniqueName="2" name="Gender" queryTableFieldId="2"/>
    <tableColumn id="3" xr3:uid="{AA12322D-7E55-4E62-B300-2BE89731763A}" uniqueName="3" name="Age" queryTableFieldId="3"/>
    <tableColumn id="4" xr3:uid="{DAF72ED1-7045-4C0D-BBF9-BE6079F57A25}" uniqueName="4" name="Rating" queryTableFieldId="4"/>
    <tableColumn id="5" xr3:uid="{8F174220-601F-4D49-99EA-753864AF5515}" uniqueName="5" name="Date Joined" queryTableFieldId="5" dataDxfId="22"/>
    <tableColumn id="6" xr3:uid="{CEBF2CC2-5A71-47D1-B0CD-D40C5064B7BA}" uniqueName="6" name="Department" queryTableFieldId="6"/>
    <tableColumn id="7" xr3:uid="{6D9A66DC-8C9E-4D1B-A5DA-01B854C02B8A}" uniqueName="7" name="Salary" queryTableFieldId="7" dataDxfId="21"/>
    <tableColumn id="8" xr3:uid="{EE241DCC-FBD9-43FC-8584-5FDBCDFB3000}" uniqueName="8" name="Country" queryTableFieldId="8"/>
    <tableColumn id="9" xr3:uid="{CAFA31D9-A79C-497B-84A9-5A2F57F198C3}" uniqueName="9" name="Tenure" queryTableFieldId="9" dataDxfId="20">
      <calculatedColumnFormula>(TODAY()-all_staff[[#This Row],[Date Joined]])/365</calculatedColumnFormula>
    </tableColumn>
    <tableColumn id="10" xr3:uid="{C785F818-5E08-4FD0-A95B-FCD8B2ED5181}" uniqueName="10" name="Annual Bonus" queryTableFieldId="10" dataDxfId="19">
      <calculatedColumnFormula>ROUNDUP(IF(all_staff[[#This Row],[Tenure]]&gt;2,3%,2%)*all_staff[[#This Row],[Salary]],0)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I106"/>
  <sheetViews>
    <sheetView showGridLines="0" tabSelected="1" workbookViewId="0">
      <selection activeCell="C7" sqref="C7"/>
    </sheetView>
  </sheetViews>
  <sheetFormatPr defaultRowHeight="14.5" x14ac:dyDescent="0.35"/>
  <cols>
    <col min="1" max="1" width="1.6328125" customWidth="1"/>
    <col min="2" max="2" width="3.6328125" customWidth="1"/>
    <col min="3" max="3" width="35.81640625" bestFit="1" customWidth="1"/>
    <col min="4" max="4" width="9.36328125" bestFit="1" customWidth="1"/>
    <col min="5" max="5" width="13.36328125" bestFit="1" customWidth="1"/>
    <col min="6" max="6" width="6.453125" bestFit="1" customWidth="1"/>
    <col min="7" max="7" width="13" bestFit="1" customWidth="1"/>
    <col min="8" max="8" width="12.54296875" bestFit="1" customWidth="1"/>
    <col min="9" max="9" width="13.08984375" bestFit="1" customWidth="1"/>
  </cols>
  <sheetData>
    <row r="1" spans="1:9" s="2" customFormat="1" ht="52.5" customHeight="1" x14ac:dyDescent="0.35">
      <c r="A1" s="1"/>
      <c r="C1" s="3" t="s">
        <v>110</v>
      </c>
    </row>
    <row r="5" spans="1:9" x14ac:dyDescent="0.35">
      <c r="C5" t="s">
        <v>0</v>
      </c>
      <c r="D5" t="s">
        <v>1</v>
      </c>
      <c r="E5" t="s">
        <v>2</v>
      </c>
      <c r="F5" t="s">
        <v>3</v>
      </c>
      <c r="G5" s="4" t="s">
        <v>4</v>
      </c>
      <c r="H5" t="s">
        <v>5</v>
      </c>
      <c r="I5" t="s">
        <v>6</v>
      </c>
    </row>
    <row r="6" spans="1:9" x14ac:dyDescent="0.35">
      <c r="C6" t="s">
        <v>58</v>
      </c>
      <c r="D6" t="s">
        <v>15</v>
      </c>
      <c r="E6" t="s">
        <v>19</v>
      </c>
      <c r="F6">
        <v>22</v>
      </c>
      <c r="G6" s="4">
        <v>44446</v>
      </c>
      <c r="H6" s="5">
        <v>112780</v>
      </c>
      <c r="I6" t="s">
        <v>13</v>
      </c>
    </row>
    <row r="7" spans="1:9" x14ac:dyDescent="0.35">
      <c r="C7" t="s">
        <v>70</v>
      </c>
      <c r="D7" t="s">
        <v>15</v>
      </c>
      <c r="E7" t="s">
        <v>9</v>
      </c>
      <c r="F7">
        <v>46</v>
      </c>
      <c r="G7" s="4">
        <v>44758</v>
      </c>
      <c r="H7" s="5">
        <v>70610</v>
      </c>
      <c r="I7" t="s">
        <v>16</v>
      </c>
    </row>
    <row r="8" spans="1:9" x14ac:dyDescent="0.35">
      <c r="C8" t="s">
        <v>75</v>
      </c>
      <c r="D8" t="s">
        <v>8</v>
      </c>
      <c r="E8" t="s">
        <v>19</v>
      </c>
      <c r="F8">
        <v>28</v>
      </c>
      <c r="G8" s="4">
        <v>44357</v>
      </c>
      <c r="H8" s="5">
        <v>53240</v>
      </c>
      <c r="I8" t="s">
        <v>16</v>
      </c>
    </row>
    <row r="9" spans="1:9" x14ac:dyDescent="0.35">
      <c r="C9" t="s">
        <v>49</v>
      </c>
      <c r="E9" t="s">
        <v>21</v>
      </c>
      <c r="F9">
        <v>37</v>
      </c>
      <c r="G9" s="4">
        <v>44146</v>
      </c>
      <c r="H9" s="5">
        <v>115440</v>
      </c>
      <c r="I9" t="s">
        <v>24</v>
      </c>
    </row>
    <row r="10" spans="1:9" x14ac:dyDescent="0.35">
      <c r="C10" t="s">
        <v>65</v>
      </c>
      <c r="D10" t="s">
        <v>15</v>
      </c>
      <c r="E10" t="s">
        <v>19</v>
      </c>
      <c r="F10">
        <v>32</v>
      </c>
      <c r="G10" s="4">
        <v>44465</v>
      </c>
      <c r="H10" s="5">
        <v>53540</v>
      </c>
      <c r="I10" t="s">
        <v>16</v>
      </c>
    </row>
    <row r="11" spans="1:9" x14ac:dyDescent="0.35">
      <c r="C11" t="s">
        <v>81</v>
      </c>
      <c r="D11" t="s">
        <v>8</v>
      </c>
      <c r="E11" t="s">
        <v>9</v>
      </c>
      <c r="F11">
        <v>30</v>
      </c>
      <c r="G11" s="4">
        <v>44861</v>
      </c>
      <c r="H11" s="5">
        <v>112570</v>
      </c>
      <c r="I11" t="s">
        <v>16</v>
      </c>
    </row>
    <row r="12" spans="1:9" x14ac:dyDescent="0.35">
      <c r="C12" t="s">
        <v>51</v>
      </c>
      <c r="D12" t="s">
        <v>15</v>
      </c>
      <c r="E12" t="s">
        <v>9</v>
      </c>
      <c r="F12">
        <v>33</v>
      </c>
      <c r="G12" s="4">
        <v>44701</v>
      </c>
      <c r="H12" s="5">
        <v>48530</v>
      </c>
      <c r="I12" t="s">
        <v>13</v>
      </c>
    </row>
    <row r="13" spans="1:9" x14ac:dyDescent="0.35">
      <c r="C13" t="s">
        <v>61</v>
      </c>
      <c r="D13" t="s">
        <v>8</v>
      </c>
      <c r="E13" t="s">
        <v>12</v>
      </c>
      <c r="F13">
        <v>24</v>
      </c>
      <c r="G13" s="4">
        <v>44148</v>
      </c>
      <c r="H13" s="5">
        <v>62780</v>
      </c>
      <c r="I13" t="s">
        <v>16</v>
      </c>
    </row>
    <row r="14" spans="1:9" x14ac:dyDescent="0.35">
      <c r="C14" t="s">
        <v>82</v>
      </c>
      <c r="D14" t="s">
        <v>15</v>
      </c>
      <c r="E14" t="s">
        <v>12</v>
      </c>
      <c r="F14">
        <v>33</v>
      </c>
      <c r="G14" s="4">
        <v>44509</v>
      </c>
      <c r="H14" s="5">
        <v>53870</v>
      </c>
      <c r="I14" t="s">
        <v>16</v>
      </c>
    </row>
    <row r="15" spans="1:9" x14ac:dyDescent="0.35">
      <c r="C15" t="s">
        <v>60</v>
      </c>
      <c r="D15" t="s">
        <v>8</v>
      </c>
      <c r="E15" t="s">
        <v>56</v>
      </c>
      <c r="F15">
        <v>27</v>
      </c>
      <c r="G15" s="4">
        <v>44122</v>
      </c>
      <c r="H15" s="5">
        <v>119110</v>
      </c>
      <c r="I15" t="s">
        <v>16</v>
      </c>
    </row>
    <row r="16" spans="1:9" x14ac:dyDescent="0.35">
      <c r="C16" t="s">
        <v>87</v>
      </c>
      <c r="D16" t="s">
        <v>15</v>
      </c>
      <c r="E16" t="s">
        <v>12</v>
      </c>
      <c r="F16">
        <v>29</v>
      </c>
      <c r="G16" s="4">
        <v>44180</v>
      </c>
      <c r="H16" s="5">
        <v>112110</v>
      </c>
      <c r="I16" t="s">
        <v>24</v>
      </c>
    </row>
    <row r="17" spans="3:9" x14ac:dyDescent="0.35">
      <c r="C17" t="s">
        <v>76</v>
      </c>
      <c r="D17" t="s">
        <v>15</v>
      </c>
      <c r="E17" t="s">
        <v>19</v>
      </c>
      <c r="F17">
        <v>25</v>
      </c>
      <c r="G17" s="4">
        <v>44383</v>
      </c>
      <c r="H17" s="5">
        <v>65700</v>
      </c>
      <c r="I17" t="s">
        <v>16</v>
      </c>
    </row>
    <row r="18" spans="3:9" x14ac:dyDescent="0.35">
      <c r="C18" t="s">
        <v>97</v>
      </c>
      <c r="D18" t="s">
        <v>15</v>
      </c>
      <c r="E18" t="s">
        <v>12</v>
      </c>
      <c r="F18">
        <v>37</v>
      </c>
      <c r="G18" s="4">
        <v>44701</v>
      </c>
      <c r="H18" s="5">
        <v>69070</v>
      </c>
      <c r="I18" t="s">
        <v>16</v>
      </c>
    </row>
    <row r="19" spans="3:9" x14ac:dyDescent="0.35">
      <c r="C19" t="s">
        <v>22</v>
      </c>
      <c r="D19" t="s">
        <v>15</v>
      </c>
      <c r="E19" t="s">
        <v>12</v>
      </c>
      <c r="F19">
        <v>20</v>
      </c>
      <c r="G19" s="4">
        <v>44459</v>
      </c>
      <c r="H19" s="5">
        <v>107700</v>
      </c>
      <c r="I19" t="s">
        <v>16</v>
      </c>
    </row>
    <row r="20" spans="3:9" x14ac:dyDescent="0.35">
      <c r="C20" t="s">
        <v>84</v>
      </c>
      <c r="D20" t="s">
        <v>8</v>
      </c>
      <c r="E20" t="s">
        <v>12</v>
      </c>
      <c r="F20">
        <v>32</v>
      </c>
      <c r="G20" s="4">
        <v>44354</v>
      </c>
      <c r="H20" s="5">
        <v>43840</v>
      </c>
      <c r="I20" t="s">
        <v>13</v>
      </c>
    </row>
    <row r="21" spans="3:9" x14ac:dyDescent="0.35">
      <c r="C21" t="s">
        <v>105</v>
      </c>
      <c r="D21" t="s">
        <v>15</v>
      </c>
      <c r="E21" t="s">
        <v>9</v>
      </c>
      <c r="F21">
        <v>40</v>
      </c>
      <c r="G21" s="4">
        <v>44263</v>
      </c>
      <c r="H21" s="5">
        <v>99750</v>
      </c>
      <c r="I21" t="s">
        <v>16</v>
      </c>
    </row>
    <row r="22" spans="3:9" x14ac:dyDescent="0.35">
      <c r="C22" t="s">
        <v>47</v>
      </c>
      <c r="D22" t="s">
        <v>15</v>
      </c>
      <c r="E22" t="s">
        <v>9</v>
      </c>
      <c r="F22">
        <v>21</v>
      </c>
      <c r="G22" s="4">
        <v>44104</v>
      </c>
      <c r="H22" s="5">
        <v>37920</v>
      </c>
      <c r="I22" t="s">
        <v>16</v>
      </c>
    </row>
    <row r="23" spans="3:9" x14ac:dyDescent="0.35">
      <c r="C23" t="s">
        <v>31</v>
      </c>
      <c r="D23" t="s">
        <v>15</v>
      </c>
      <c r="E23" t="s">
        <v>9</v>
      </c>
      <c r="F23">
        <v>21</v>
      </c>
      <c r="G23" s="4">
        <v>44762</v>
      </c>
      <c r="H23" s="5">
        <v>57090</v>
      </c>
      <c r="I23" t="s">
        <v>16</v>
      </c>
    </row>
    <row r="24" spans="3:9" x14ac:dyDescent="0.35">
      <c r="C24" t="s">
        <v>30</v>
      </c>
      <c r="D24" t="s">
        <v>8</v>
      </c>
      <c r="E24" t="s">
        <v>12</v>
      </c>
      <c r="F24">
        <v>31</v>
      </c>
      <c r="G24" s="4">
        <v>44145</v>
      </c>
      <c r="H24" s="5">
        <v>41980</v>
      </c>
      <c r="I24" t="s">
        <v>16</v>
      </c>
    </row>
    <row r="25" spans="3:9" x14ac:dyDescent="0.35">
      <c r="C25" t="s">
        <v>78</v>
      </c>
      <c r="D25" t="s">
        <v>15</v>
      </c>
      <c r="E25" t="s">
        <v>56</v>
      </c>
      <c r="F25">
        <v>21</v>
      </c>
      <c r="G25" s="4">
        <v>44242</v>
      </c>
      <c r="H25" s="5">
        <v>75880</v>
      </c>
      <c r="I25" t="s">
        <v>16</v>
      </c>
    </row>
    <row r="26" spans="3:9" x14ac:dyDescent="0.35">
      <c r="C26" t="s">
        <v>36</v>
      </c>
      <c r="D26" t="s">
        <v>8</v>
      </c>
      <c r="E26" t="s">
        <v>21</v>
      </c>
      <c r="F26">
        <v>34</v>
      </c>
      <c r="G26" s="4">
        <v>44653</v>
      </c>
      <c r="H26" s="5">
        <v>58940</v>
      </c>
      <c r="I26" t="s">
        <v>16</v>
      </c>
    </row>
    <row r="27" spans="3:9" x14ac:dyDescent="0.35">
      <c r="C27" t="s">
        <v>27</v>
      </c>
      <c r="D27" t="s">
        <v>8</v>
      </c>
      <c r="E27" t="s">
        <v>21</v>
      </c>
      <c r="F27">
        <v>30</v>
      </c>
      <c r="G27" s="4">
        <v>44389</v>
      </c>
      <c r="H27" s="5">
        <v>67910</v>
      </c>
      <c r="I27" t="s">
        <v>24</v>
      </c>
    </row>
    <row r="28" spans="3:9" x14ac:dyDescent="0.35">
      <c r="C28" t="s">
        <v>26</v>
      </c>
      <c r="D28" t="s">
        <v>8</v>
      </c>
      <c r="E28" t="s">
        <v>12</v>
      </c>
      <c r="F28">
        <v>31</v>
      </c>
      <c r="G28" s="4">
        <v>44663</v>
      </c>
      <c r="H28" s="5">
        <v>58100</v>
      </c>
      <c r="I28" t="s">
        <v>16</v>
      </c>
    </row>
    <row r="29" spans="3:9" x14ac:dyDescent="0.35">
      <c r="C29" t="s">
        <v>53</v>
      </c>
      <c r="D29" t="s">
        <v>15</v>
      </c>
      <c r="E29" t="s">
        <v>21</v>
      </c>
      <c r="F29">
        <v>27</v>
      </c>
      <c r="G29" s="4">
        <v>44567</v>
      </c>
      <c r="H29" s="5">
        <v>48980</v>
      </c>
      <c r="I29" t="s">
        <v>16</v>
      </c>
    </row>
    <row r="30" spans="3:9" x14ac:dyDescent="0.35">
      <c r="C30" t="s">
        <v>20</v>
      </c>
      <c r="E30" t="s">
        <v>21</v>
      </c>
      <c r="F30">
        <v>30</v>
      </c>
      <c r="G30" s="4">
        <v>44597</v>
      </c>
      <c r="H30" s="5">
        <v>64000</v>
      </c>
      <c r="I30" t="s">
        <v>16</v>
      </c>
    </row>
    <row r="31" spans="3:9" x14ac:dyDescent="0.35">
      <c r="C31" t="s">
        <v>7</v>
      </c>
      <c r="D31" t="s">
        <v>8</v>
      </c>
      <c r="E31" t="s">
        <v>9</v>
      </c>
      <c r="F31">
        <v>42</v>
      </c>
      <c r="G31" s="4">
        <v>44779</v>
      </c>
      <c r="H31" s="5">
        <v>75000</v>
      </c>
      <c r="I31" t="s">
        <v>10</v>
      </c>
    </row>
    <row r="32" spans="3:9" x14ac:dyDescent="0.35">
      <c r="C32" t="s">
        <v>74</v>
      </c>
      <c r="D32" t="s">
        <v>8</v>
      </c>
      <c r="E32" t="s">
        <v>12</v>
      </c>
      <c r="F32">
        <v>40</v>
      </c>
      <c r="G32" s="4">
        <v>44337</v>
      </c>
      <c r="H32" s="5">
        <v>87620</v>
      </c>
      <c r="I32" t="s">
        <v>16</v>
      </c>
    </row>
    <row r="33" spans="3:9" x14ac:dyDescent="0.35">
      <c r="C33" t="s">
        <v>44</v>
      </c>
      <c r="D33" t="s">
        <v>8</v>
      </c>
      <c r="E33" t="s">
        <v>12</v>
      </c>
      <c r="F33">
        <v>29</v>
      </c>
      <c r="G33" s="4">
        <v>44023</v>
      </c>
      <c r="H33" s="5">
        <v>34980</v>
      </c>
      <c r="I33" t="s">
        <v>16</v>
      </c>
    </row>
    <row r="34" spans="3:9" x14ac:dyDescent="0.35">
      <c r="C34" t="s">
        <v>35</v>
      </c>
      <c r="D34" t="s">
        <v>8</v>
      </c>
      <c r="E34" t="s">
        <v>21</v>
      </c>
      <c r="F34">
        <v>28</v>
      </c>
      <c r="G34" s="4">
        <v>44185</v>
      </c>
      <c r="H34" s="5">
        <v>75970</v>
      </c>
      <c r="I34" t="s">
        <v>16</v>
      </c>
    </row>
    <row r="35" spans="3:9" x14ac:dyDescent="0.35">
      <c r="C35" t="s">
        <v>38</v>
      </c>
      <c r="D35" t="s">
        <v>8</v>
      </c>
      <c r="E35" t="s">
        <v>21</v>
      </c>
      <c r="F35">
        <v>34</v>
      </c>
      <c r="G35" s="4">
        <v>44612</v>
      </c>
      <c r="H35" s="5">
        <v>60130</v>
      </c>
      <c r="I35" t="s">
        <v>16</v>
      </c>
    </row>
    <row r="36" spans="3:9" x14ac:dyDescent="0.35">
      <c r="C36" t="s">
        <v>41</v>
      </c>
      <c r="D36" t="s">
        <v>8</v>
      </c>
      <c r="E36" t="s">
        <v>12</v>
      </c>
      <c r="F36">
        <v>33</v>
      </c>
      <c r="G36" s="4">
        <v>44374</v>
      </c>
      <c r="H36" s="5">
        <v>75480</v>
      </c>
      <c r="I36" t="s">
        <v>42</v>
      </c>
    </row>
    <row r="37" spans="3:9" x14ac:dyDescent="0.35">
      <c r="C37" t="s">
        <v>40</v>
      </c>
      <c r="D37" t="s">
        <v>15</v>
      </c>
      <c r="E37" t="s">
        <v>9</v>
      </c>
      <c r="F37">
        <v>33</v>
      </c>
      <c r="G37" s="4">
        <v>44164</v>
      </c>
      <c r="H37" s="5">
        <v>115920</v>
      </c>
      <c r="I37" t="s">
        <v>16</v>
      </c>
    </row>
    <row r="38" spans="3:9" x14ac:dyDescent="0.35">
      <c r="C38" t="s">
        <v>48</v>
      </c>
      <c r="D38" t="s">
        <v>8</v>
      </c>
      <c r="E38" t="s">
        <v>19</v>
      </c>
      <c r="F38">
        <v>36</v>
      </c>
      <c r="G38" s="4">
        <v>44494</v>
      </c>
      <c r="H38" s="5">
        <v>78540</v>
      </c>
      <c r="I38" t="s">
        <v>16</v>
      </c>
    </row>
    <row r="39" spans="3:9" x14ac:dyDescent="0.35">
      <c r="C39" t="s">
        <v>34</v>
      </c>
      <c r="D39" t="s">
        <v>15</v>
      </c>
      <c r="E39" t="s">
        <v>9</v>
      </c>
      <c r="F39">
        <v>25</v>
      </c>
      <c r="G39" s="4">
        <v>44726</v>
      </c>
      <c r="H39" s="5">
        <v>109190</v>
      </c>
      <c r="I39" t="s">
        <v>13</v>
      </c>
    </row>
    <row r="40" spans="3:9" x14ac:dyDescent="0.35">
      <c r="C40" t="s">
        <v>73</v>
      </c>
      <c r="D40" t="s">
        <v>8</v>
      </c>
      <c r="E40" t="s">
        <v>19</v>
      </c>
      <c r="F40">
        <v>34</v>
      </c>
      <c r="G40" s="4">
        <v>44721</v>
      </c>
      <c r="H40" s="5">
        <v>49630</v>
      </c>
      <c r="I40" t="s">
        <v>24</v>
      </c>
    </row>
    <row r="41" spans="3:9" x14ac:dyDescent="0.35">
      <c r="C41" t="s">
        <v>107</v>
      </c>
      <c r="D41" t="s">
        <v>8</v>
      </c>
      <c r="E41" t="s">
        <v>9</v>
      </c>
      <c r="F41">
        <v>28</v>
      </c>
      <c r="G41" s="4">
        <v>44630</v>
      </c>
      <c r="H41" s="5">
        <v>99970</v>
      </c>
      <c r="I41" t="s">
        <v>16</v>
      </c>
    </row>
    <row r="42" spans="3:9" x14ac:dyDescent="0.35">
      <c r="C42" t="s">
        <v>71</v>
      </c>
      <c r="D42" t="s">
        <v>8</v>
      </c>
      <c r="E42" t="s">
        <v>12</v>
      </c>
      <c r="F42">
        <v>33</v>
      </c>
      <c r="G42" s="4">
        <v>44190</v>
      </c>
      <c r="H42" s="5">
        <v>96140</v>
      </c>
      <c r="I42" t="s">
        <v>16</v>
      </c>
    </row>
    <row r="43" spans="3:9" x14ac:dyDescent="0.35">
      <c r="C43" t="s">
        <v>50</v>
      </c>
      <c r="D43" t="s">
        <v>15</v>
      </c>
      <c r="E43" t="s">
        <v>9</v>
      </c>
      <c r="F43">
        <v>31</v>
      </c>
      <c r="G43" s="4">
        <v>44724</v>
      </c>
      <c r="H43" s="5">
        <v>103550</v>
      </c>
      <c r="I43" t="s">
        <v>16</v>
      </c>
    </row>
    <row r="44" spans="3:9" x14ac:dyDescent="0.35">
      <c r="C44" t="s">
        <v>14</v>
      </c>
      <c r="D44" t="s">
        <v>15</v>
      </c>
      <c r="E44" t="s">
        <v>12</v>
      </c>
      <c r="F44">
        <v>31</v>
      </c>
      <c r="G44" s="4">
        <v>44511</v>
      </c>
      <c r="H44" s="5">
        <v>48950</v>
      </c>
      <c r="I44" t="s">
        <v>16</v>
      </c>
    </row>
    <row r="45" spans="3:9" x14ac:dyDescent="0.35">
      <c r="C45" t="s">
        <v>63</v>
      </c>
      <c r="D45" t="s">
        <v>15</v>
      </c>
      <c r="E45" t="s">
        <v>21</v>
      </c>
      <c r="F45">
        <v>24</v>
      </c>
      <c r="G45" s="4">
        <v>44436</v>
      </c>
      <c r="H45" s="5">
        <v>52610</v>
      </c>
      <c r="I45" t="s">
        <v>24</v>
      </c>
    </row>
    <row r="46" spans="3:9" x14ac:dyDescent="0.35">
      <c r="C46" t="s">
        <v>72</v>
      </c>
      <c r="D46" t="s">
        <v>8</v>
      </c>
      <c r="E46" t="s">
        <v>9</v>
      </c>
      <c r="F46">
        <v>36</v>
      </c>
      <c r="G46" s="4">
        <v>44529</v>
      </c>
      <c r="H46" s="5">
        <v>78390</v>
      </c>
      <c r="I46" t="s">
        <v>16</v>
      </c>
    </row>
    <row r="47" spans="3:9" x14ac:dyDescent="0.35">
      <c r="C47" t="s">
        <v>88</v>
      </c>
      <c r="D47" t="s">
        <v>8</v>
      </c>
      <c r="E47" t="s">
        <v>21</v>
      </c>
      <c r="F47">
        <v>33</v>
      </c>
      <c r="G47" s="4">
        <v>44809</v>
      </c>
      <c r="H47" s="5">
        <v>86570</v>
      </c>
      <c r="I47" t="s">
        <v>16</v>
      </c>
    </row>
    <row r="48" spans="3:9" x14ac:dyDescent="0.35">
      <c r="C48" t="s">
        <v>92</v>
      </c>
      <c r="D48" t="s">
        <v>8</v>
      </c>
      <c r="E48" t="s">
        <v>12</v>
      </c>
      <c r="F48">
        <v>27</v>
      </c>
      <c r="G48" s="4">
        <v>44686</v>
      </c>
      <c r="H48" s="5">
        <v>83750</v>
      </c>
      <c r="I48" t="s">
        <v>16</v>
      </c>
    </row>
    <row r="49" spans="3:9" x14ac:dyDescent="0.35">
      <c r="C49" t="s">
        <v>102</v>
      </c>
      <c r="D49" t="s">
        <v>8</v>
      </c>
      <c r="E49" t="s">
        <v>21</v>
      </c>
      <c r="F49">
        <v>34</v>
      </c>
      <c r="G49" s="4">
        <v>44445</v>
      </c>
      <c r="H49" s="5">
        <v>92450</v>
      </c>
      <c r="I49" t="s">
        <v>16</v>
      </c>
    </row>
    <row r="50" spans="3:9" x14ac:dyDescent="0.35">
      <c r="C50" t="s">
        <v>64</v>
      </c>
      <c r="D50" t="s">
        <v>15</v>
      </c>
      <c r="E50" t="s">
        <v>12</v>
      </c>
      <c r="F50">
        <v>20</v>
      </c>
      <c r="G50" s="4">
        <v>44183</v>
      </c>
      <c r="H50" s="5">
        <v>112650</v>
      </c>
      <c r="I50" t="s">
        <v>16</v>
      </c>
    </row>
    <row r="51" spans="3:9" x14ac:dyDescent="0.35">
      <c r="C51" t="s">
        <v>104</v>
      </c>
      <c r="D51" t="s">
        <v>15</v>
      </c>
      <c r="E51" t="s">
        <v>9</v>
      </c>
      <c r="F51">
        <v>20</v>
      </c>
      <c r="G51" s="4">
        <v>44744</v>
      </c>
      <c r="H51" s="5">
        <v>79570</v>
      </c>
      <c r="I51" t="s">
        <v>16</v>
      </c>
    </row>
    <row r="52" spans="3:9" x14ac:dyDescent="0.35">
      <c r="C52" t="s">
        <v>91</v>
      </c>
      <c r="D52" t="s">
        <v>8</v>
      </c>
      <c r="E52" t="s">
        <v>19</v>
      </c>
      <c r="F52">
        <v>20</v>
      </c>
      <c r="G52" s="4">
        <v>44537</v>
      </c>
      <c r="H52" s="5">
        <v>68900</v>
      </c>
      <c r="I52" t="s">
        <v>24</v>
      </c>
    </row>
    <row r="53" spans="3:9" x14ac:dyDescent="0.35">
      <c r="C53" t="s">
        <v>39</v>
      </c>
      <c r="D53" t="s">
        <v>8</v>
      </c>
      <c r="E53" t="s">
        <v>12</v>
      </c>
      <c r="F53">
        <v>25</v>
      </c>
      <c r="G53" s="4">
        <v>44694</v>
      </c>
      <c r="H53" s="5">
        <v>80700</v>
      </c>
      <c r="I53" t="s">
        <v>13</v>
      </c>
    </row>
    <row r="54" spans="3:9" x14ac:dyDescent="0.35">
      <c r="C54" t="s">
        <v>100</v>
      </c>
      <c r="D54" t="s">
        <v>15</v>
      </c>
      <c r="E54" t="s">
        <v>9</v>
      </c>
      <c r="F54">
        <v>19</v>
      </c>
      <c r="G54" s="4">
        <v>44277</v>
      </c>
      <c r="H54" s="5">
        <v>58960</v>
      </c>
      <c r="I54" t="s">
        <v>16</v>
      </c>
    </row>
    <row r="55" spans="3:9" x14ac:dyDescent="0.35">
      <c r="C55" t="s">
        <v>106</v>
      </c>
      <c r="D55" t="s">
        <v>15</v>
      </c>
      <c r="E55" t="s">
        <v>12</v>
      </c>
      <c r="F55">
        <v>36</v>
      </c>
      <c r="G55" s="4">
        <v>44019</v>
      </c>
      <c r="H55" s="5">
        <v>118840</v>
      </c>
      <c r="I55" t="s">
        <v>16</v>
      </c>
    </row>
    <row r="56" spans="3:9" x14ac:dyDescent="0.35">
      <c r="C56" t="s">
        <v>29</v>
      </c>
      <c r="D56" t="s">
        <v>15</v>
      </c>
      <c r="E56" t="s">
        <v>21</v>
      </c>
      <c r="F56">
        <v>28</v>
      </c>
      <c r="G56" s="4">
        <v>44041</v>
      </c>
      <c r="H56" s="5">
        <v>48170</v>
      </c>
      <c r="I56" t="s">
        <v>13</v>
      </c>
    </row>
    <row r="57" spans="3:9" x14ac:dyDescent="0.35">
      <c r="C57" t="s">
        <v>108</v>
      </c>
      <c r="D57" t="s">
        <v>8</v>
      </c>
      <c r="E57" t="s">
        <v>56</v>
      </c>
      <c r="F57">
        <v>32</v>
      </c>
      <c r="G57" s="4">
        <v>44400</v>
      </c>
      <c r="H57" s="5">
        <v>45510</v>
      </c>
      <c r="I57" t="s">
        <v>16</v>
      </c>
    </row>
    <row r="58" spans="3:9" x14ac:dyDescent="0.35">
      <c r="C58" t="s">
        <v>64</v>
      </c>
      <c r="D58" t="s">
        <v>15</v>
      </c>
      <c r="E58" t="s">
        <v>9</v>
      </c>
      <c r="F58">
        <v>34</v>
      </c>
      <c r="G58" s="4">
        <v>44703</v>
      </c>
      <c r="H58" s="5">
        <v>112650</v>
      </c>
      <c r="I58" t="s">
        <v>16</v>
      </c>
    </row>
    <row r="59" spans="3:9" x14ac:dyDescent="0.35">
      <c r="C59" t="s">
        <v>83</v>
      </c>
      <c r="D59" t="s">
        <v>8</v>
      </c>
      <c r="E59" t="s">
        <v>9</v>
      </c>
      <c r="F59">
        <v>36</v>
      </c>
      <c r="G59" s="4">
        <v>44085</v>
      </c>
      <c r="H59" s="5">
        <v>114890</v>
      </c>
      <c r="I59" t="s">
        <v>16</v>
      </c>
    </row>
    <row r="60" spans="3:9" x14ac:dyDescent="0.35">
      <c r="C60" t="s">
        <v>67</v>
      </c>
      <c r="D60" t="s">
        <v>15</v>
      </c>
      <c r="E60" t="s">
        <v>12</v>
      </c>
      <c r="F60">
        <v>30</v>
      </c>
      <c r="G60" s="4">
        <v>44850</v>
      </c>
      <c r="H60" s="5">
        <v>69710</v>
      </c>
      <c r="I60" t="s">
        <v>16</v>
      </c>
    </row>
    <row r="61" spans="3:9" x14ac:dyDescent="0.35">
      <c r="C61" t="s">
        <v>94</v>
      </c>
      <c r="D61" t="s">
        <v>15</v>
      </c>
      <c r="E61" t="s">
        <v>21</v>
      </c>
      <c r="F61">
        <v>36</v>
      </c>
      <c r="G61" s="4">
        <v>44333</v>
      </c>
      <c r="H61" s="5">
        <v>71380</v>
      </c>
      <c r="I61" t="s">
        <v>16</v>
      </c>
    </row>
    <row r="62" spans="3:9" x14ac:dyDescent="0.35">
      <c r="C62" t="s">
        <v>33</v>
      </c>
      <c r="D62" t="s">
        <v>8</v>
      </c>
      <c r="E62" t="s">
        <v>19</v>
      </c>
      <c r="F62">
        <v>38</v>
      </c>
      <c r="G62" s="4">
        <v>44377</v>
      </c>
      <c r="H62" s="5">
        <v>109160</v>
      </c>
      <c r="I62" t="s">
        <v>10</v>
      </c>
    </row>
    <row r="63" spans="3:9" x14ac:dyDescent="0.35">
      <c r="C63" t="s">
        <v>98</v>
      </c>
      <c r="D63" t="s">
        <v>15</v>
      </c>
      <c r="E63" t="s">
        <v>9</v>
      </c>
      <c r="F63">
        <v>27</v>
      </c>
      <c r="G63" s="4">
        <v>44609</v>
      </c>
      <c r="H63" s="5">
        <v>113280</v>
      </c>
      <c r="I63" t="s">
        <v>42</v>
      </c>
    </row>
    <row r="64" spans="3:9" x14ac:dyDescent="0.35">
      <c r="C64" t="s">
        <v>25</v>
      </c>
      <c r="D64" t="s">
        <v>15</v>
      </c>
      <c r="E64" t="s">
        <v>12</v>
      </c>
      <c r="F64">
        <v>30</v>
      </c>
      <c r="G64" s="4">
        <v>44273</v>
      </c>
      <c r="H64" s="5">
        <v>69120</v>
      </c>
      <c r="I64" t="s">
        <v>16</v>
      </c>
    </row>
    <row r="65" spans="3:9" x14ac:dyDescent="0.35">
      <c r="C65" t="s">
        <v>55</v>
      </c>
      <c r="D65" t="s">
        <v>8</v>
      </c>
      <c r="E65" t="s">
        <v>56</v>
      </c>
      <c r="F65">
        <v>37</v>
      </c>
      <c r="G65" s="4">
        <v>44451</v>
      </c>
      <c r="H65" s="5">
        <v>118100</v>
      </c>
      <c r="I65" t="s">
        <v>16</v>
      </c>
    </row>
    <row r="66" spans="3:9" x14ac:dyDescent="0.35">
      <c r="C66" t="s">
        <v>62</v>
      </c>
      <c r="D66" t="s">
        <v>8</v>
      </c>
      <c r="E66" t="s">
        <v>9</v>
      </c>
      <c r="F66">
        <v>22</v>
      </c>
      <c r="G66" s="4">
        <v>44450</v>
      </c>
      <c r="H66" s="5">
        <v>76900</v>
      </c>
      <c r="I66" t="s">
        <v>13</v>
      </c>
    </row>
    <row r="67" spans="3:9" x14ac:dyDescent="0.35">
      <c r="C67" t="s">
        <v>17</v>
      </c>
      <c r="D67" t="s">
        <v>8</v>
      </c>
      <c r="E67" t="s">
        <v>12</v>
      </c>
      <c r="F67">
        <v>43</v>
      </c>
      <c r="G67" s="4">
        <v>45045</v>
      </c>
      <c r="H67" s="5">
        <v>114870</v>
      </c>
      <c r="I67" t="s">
        <v>16</v>
      </c>
    </row>
    <row r="68" spans="3:9" x14ac:dyDescent="0.35">
      <c r="C68" t="s">
        <v>52</v>
      </c>
      <c r="E68" t="s">
        <v>12</v>
      </c>
      <c r="F68">
        <v>32</v>
      </c>
      <c r="G68" s="4">
        <v>44774</v>
      </c>
      <c r="H68" s="5">
        <v>91310</v>
      </c>
      <c r="I68" t="s">
        <v>16</v>
      </c>
    </row>
    <row r="69" spans="3:9" x14ac:dyDescent="0.35">
      <c r="C69" t="s">
        <v>43</v>
      </c>
      <c r="D69" t="s">
        <v>8</v>
      </c>
      <c r="E69" t="s">
        <v>9</v>
      </c>
      <c r="F69">
        <v>28</v>
      </c>
      <c r="G69" s="4">
        <v>44486</v>
      </c>
      <c r="H69" s="5">
        <v>104770</v>
      </c>
      <c r="I69" t="s">
        <v>16</v>
      </c>
    </row>
    <row r="70" spans="3:9" x14ac:dyDescent="0.35">
      <c r="C70" t="s">
        <v>89</v>
      </c>
      <c r="D70" t="s">
        <v>15</v>
      </c>
      <c r="E70" t="s">
        <v>19</v>
      </c>
      <c r="F70">
        <v>27</v>
      </c>
      <c r="G70" s="4">
        <v>44134</v>
      </c>
      <c r="H70" s="5">
        <v>54970</v>
      </c>
      <c r="I70" t="s">
        <v>16</v>
      </c>
    </row>
    <row r="71" spans="3:9" x14ac:dyDescent="0.35">
      <c r="C71" t="s">
        <v>11</v>
      </c>
      <c r="E71" t="s">
        <v>12</v>
      </c>
      <c r="F71">
        <v>26</v>
      </c>
      <c r="G71" s="4">
        <v>44271</v>
      </c>
      <c r="H71" s="5">
        <v>90700</v>
      </c>
      <c r="I71" t="s">
        <v>13</v>
      </c>
    </row>
    <row r="72" spans="3:9" x14ac:dyDescent="0.35">
      <c r="C72" t="s">
        <v>109</v>
      </c>
      <c r="D72" t="s">
        <v>8</v>
      </c>
      <c r="E72" t="s">
        <v>19</v>
      </c>
      <c r="F72">
        <v>38</v>
      </c>
      <c r="G72" s="4">
        <v>44329</v>
      </c>
      <c r="H72" s="5">
        <v>56870</v>
      </c>
      <c r="I72" t="s">
        <v>13</v>
      </c>
    </row>
    <row r="73" spans="3:9" x14ac:dyDescent="0.35">
      <c r="C73" t="s">
        <v>77</v>
      </c>
      <c r="D73" t="s">
        <v>8</v>
      </c>
      <c r="E73" t="s">
        <v>19</v>
      </c>
      <c r="F73">
        <v>25</v>
      </c>
      <c r="G73" s="4">
        <v>44205</v>
      </c>
      <c r="H73" s="5">
        <v>92700</v>
      </c>
      <c r="I73" t="s">
        <v>16</v>
      </c>
    </row>
    <row r="74" spans="3:9" x14ac:dyDescent="0.35">
      <c r="C74" t="s">
        <v>32</v>
      </c>
      <c r="D74" t="s">
        <v>8</v>
      </c>
      <c r="E74" t="s">
        <v>21</v>
      </c>
      <c r="F74">
        <v>21</v>
      </c>
      <c r="G74" s="4">
        <v>44317</v>
      </c>
      <c r="H74" s="5">
        <v>65920</v>
      </c>
      <c r="I74" t="s">
        <v>16</v>
      </c>
    </row>
    <row r="75" spans="3:9" x14ac:dyDescent="0.35">
      <c r="C75" t="s">
        <v>59</v>
      </c>
      <c r="D75" t="s">
        <v>15</v>
      </c>
      <c r="E75" t="s">
        <v>9</v>
      </c>
      <c r="F75">
        <v>26</v>
      </c>
      <c r="G75" s="4">
        <v>44225</v>
      </c>
      <c r="H75" s="5">
        <v>47360</v>
      </c>
      <c r="I75" t="s">
        <v>16</v>
      </c>
    </row>
    <row r="76" spans="3:9" x14ac:dyDescent="0.35">
      <c r="C76" t="s">
        <v>37</v>
      </c>
      <c r="D76" t="s">
        <v>15</v>
      </c>
      <c r="E76" t="s">
        <v>9</v>
      </c>
      <c r="F76">
        <v>30</v>
      </c>
      <c r="G76" s="4">
        <v>44666</v>
      </c>
      <c r="H76" s="5">
        <v>60570</v>
      </c>
      <c r="I76" t="s">
        <v>16</v>
      </c>
    </row>
    <row r="77" spans="3:9" x14ac:dyDescent="0.35">
      <c r="C77" t="s">
        <v>96</v>
      </c>
      <c r="D77" t="s">
        <v>8</v>
      </c>
      <c r="E77" t="s">
        <v>9</v>
      </c>
      <c r="F77">
        <v>28</v>
      </c>
      <c r="G77" s="4">
        <v>44649</v>
      </c>
      <c r="H77" s="5">
        <v>104120</v>
      </c>
      <c r="I77" t="s">
        <v>16</v>
      </c>
    </row>
    <row r="78" spans="3:9" x14ac:dyDescent="0.35">
      <c r="C78" t="s">
        <v>23</v>
      </c>
      <c r="D78" t="s">
        <v>15</v>
      </c>
      <c r="E78" t="s">
        <v>12</v>
      </c>
      <c r="F78">
        <v>37</v>
      </c>
      <c r="G78" s="4">
        <v>44338</v>
      </c>
      <c r="H78" s="5">
        <v>88050</v>
      </c>
      <c r="I78" t="s">
        <v>24</v>
      </c>
    </row>
    <row r="79" spans="3:9" x14ac:dyDescent="0.35">
      <c r="C79" t="s">
        <v>103</v>
      </c>
      <c r="D79" t="s">
        <v>15</v>
      </c>
      <c r="E79" t="s">
        <v>12</v>
      </c>
      <c r="F79">
        <v>24</v>
      </c>
      <c r="G79" s="4">
        <v>44686</v>
      </c>
      <c r="H79" s="5">
        <v>100420</v>
      </c>
      <c r="I79" t="s">
        <v>16</v>
      </c>
    </row>
    <row r="80" spans="3:9" x14ac:dyDescent="0.35">
      <c r="C80" t="s">
        <v>54</v>
      </c>
      <c r="D80" t="s">
        <v>8</v>
      </c>
      <c r="E80" t="s">
        <v>9</v>
      </c>
      <c r="F80">
        <v>30</v>
      </c>
      <c r="G80" s="4">
        <v>44850</v>
      </c>
      <c r="H80" s="5">
        <v>114180</v>
      </c>
      <c r="I80" t="s">
        <v>16</v>
      </c>
    </row>
    <row r="81" spans="3:9" x14ac:dyDescent="0.35">
      <c r="C81" t="s">
        <v>86</v>
      </c>
      <c r="D81" t="s">
        <v>8</v>
      </c>
      <c r="E81" t="s">
        <v>12</v>
      </c>
      <c r="F81">
        <v>21</v>
      </c>
      <c r="G81" s="4">
        <v>44678</v>
      </c>
      <c r="H81" s="5">
        <v>33920</v>
      </c>
      <c r="I81" t="s">
        <v>16</v>
      </c>
    </row>
    <row r="82" spans="3:9" x14ac:dyDescent="0.35">
      <c r="C82" t="s">
        <v>69</v>
      </c>
      <c r="D82" t="s">
        <v>15</v>
      </c>
      <c r="E82" t="s">
        <v>9</v>
      </c>
      <c r="F82">
        <v>23</v>
      </c>
      <c r="G82" s="4">
        <v>44440</v>
      </c>
      <c r="H82" s="5">
        <v>106460</v>
      </c>
      <c r="I82" t="s">
        <v>16</v>
      </c>
    </row>
    <row r="83" spans="3:9" x14ac:dyDescent="0.35">
      <c r="C83" t="s">
        <v>57</v>
      </c>
      <c r="D83" t="s">
        <v>15</v>
      </c>
      <c r="E83" t="s">
        <v>9</v>
      </c>
      <c r="F83">
        <v>35</v>
      </c>
      <c r="G83" s="4">
        <v>44727</v>
      </c>
      <c r="H83" s="5">
        <v>40400</v>
      </c>
      <c r="I83" t="s">
        <v>16</v>
      </c>
    </row>
    <row r="84" spans="3:9" x14ac:dyDescent="0.35">
      <c r="C84" t="s">
        <v>68</v>
      </c>
      <c r="D84" t="s">
        <v>15</v>
      </c>
      <c r="E84" t="s">
        <v>21</v>
      </c>
      <c r="F84">
        <v>27</v>
      </c>
      <c r="G84" s="4">
        <v>44236</v>
      </c>
      <c r="H84" s="5">
        <v>91650</v>
      </c>
      <c r="I84" t="s">
        <v>13</v>
      </c>
    </row>
    <row r="85" spans="3:9" x14ac:dyDescent="0.35">
      <c r="C85" t="s">
        <v>99</v>
      </c>
      <c r="D85" t="s">
        <v>15</v>
      </c>
      <c r="E85" t="s">
        <v>19</v>
      </c>
      <c r="F85">
        <v>43</v>
      </c>
      <c r="G85" s="4">
        <v>44620</v>
      </c>
      <c r="H85" s="5">
        <v>36040</v>
      </c>
      <c r="I85" t="s">
        <v>16</v>
      </c>
    </row>
    <row r="86" spans="3:9" x14ac:dyDescent="0.35">
      <c r="C86" t="s">
        <v>101</v>
      </c>
      <c r="D86" t="s">
        <v>8</v>
      </c>
      <c r="E86" t="s">
        <v>12</v>
      </c>
      <c r="F86">
        <v>40</v>
      </c>
      <c r="G86" s="4">
        <v>44381</v>
      </c>
      <c r="H86" s="5">
        <v>104410</v>
      </c>
      <c r="I86" t="s">
        <v>16</v>
      </c>
    </row>
    <row r="87" spans="3:9" x14ac:dyDescent="0.35">
      <c r="C87" t="s">
        <v>85</v>
      </c>
      <c r="D87" t="s">
        <v>15</v>
      </c>
      <c r="E87" t="s">
        <v>21</v>
      </c>
      <c r="F87">
        <v>30</v>
      </c>
      <c r="G87" s="4">
        <v>44606</v>
      </c>
      <c r="H87" s="5">
        <v>96800</v>
      </c>
      <c r="I87" t="s">
        <v>16</v>
      </c>
    </row>
    <row r="88" spans="3:9" x14ac:dyDescent="0.35">
      <c r="C88" t="s">
        <v>28</v>
      </c>
      <c r="D88" t="s">
        <v>8</v>
      </c>
      <c r="E88" t="s">
        <v>21</v>
      </c>
      <c r="F88">
        <v>34</v>
      </c>
      <c r="G88" s="4">
        <v>44459</v>
      </c>
      <c r="H88" s="5">
        <v>85000</v>
      </c>
      <c r="I88" t="s">
        <v>16</v>
      </c>
    </row>
    <row r="89" spans="3:9" x14ac:dyDescent="0.35">
      <c r="C89" t="s">
        <v>80</v>
      </c>
      <c r="D89" t="s">
        <v>15</v>
      </c>
      <c r="E89" t="s">
        <v>19</v>
      </c>
      <c r="F89">
        <v>28</v>
      </c>
      <c r="G89" s="4">
        <v>44820</v>
      </c>
      <c r="H89" s="5">
        <v>43510</v>
      </c>
      <c r="I89" t="s">
        <v>42</v>
      </c>
    </row>
    <row r="90" spans="3:9" x14ac:dyDescent="0.35">
      <c r="C90" t="s">
        <v>79</v>
      </c>
      <c r="D90" t="s">
        <v>15</v>
      </c>
      <c r="E90" t="s">
        <v>21</v>
      </c>
      <c r="F90">
        <v>33</v>
      </c>
      <c r="G90" s="4">
        <v>44243</v>
      </c>
      <c r="H90" s="5">
        <v>59430</v>
      </c>
      <c r="I90" t="s">
        <v>16</v>
      </c>
    </row>
    <row r="91" spans="3:9" x14ac:dyDescent="0.35">
      <c r="C91" t="s">
        <v>93</v>
      </c>
      <c r="D91" t="s">
        <v>8</v>
      </c>
      <c r="E91" t="s">
        <v>21</v>
      </c>
      <c r="F91">
        <v>33</v>
      </c>
      <c r="G91" s="4">
        <v>44067</v>
      </c>
      <c r="H91" s="5">
        <v>65360</v>
      </c>
      <c r="I91" t="s">
        <v>16</v>
      </c>
    </row>
    <row r="92" spans="3:9" x14ac:dyDescent="0.35">
      <c r="C92" t="s">
        <v>66</v>
      </c>
      <c r="D92" t="s">
        <v>8</v>
      </c>
      <c r="E92" t="s">
        <v>9</v>
      </c>
      <c r="F92">
        <v>32</v>
      </c>
      <c r="G92" s="4">
        <v>44611</v>
      </c>
      <c r="H92" s="5">
        <v>41570</v>
      </c>
      <c r="I92" t="s">
        <v>16</v>
      </c>
    </row>
    <row r="93" spans="3:9" x14ac:dyDescent="0.35">
      <c r="C93" t="s">
        <v>95</v>
      </c>
      <c r="D93" t="s">
        <v>8</v>
      </c>
      <c r="E93" t="s">
        <v>12</v>
      </c>
      <c r="F93">
        <v>33</v>
      </c>
      <c r="G93" s="4">
        <v>44312</v>
      </c>
      <c r="H93" s="5">
        <v>75280</v>
      </c>
      <c r="I93" t="s">
        <v>16</v>
      </c>
    </row>
    <row r="94" spans="3:9" x14ac:dyDescent="0.35">
      <c r="C94" t="s">
        <v>18</v>
      </c>
      <c r="D94" t="s">
        <v>15</v>
      </c>
      <c r="E94" t="s">
        <v>19</v>
      </c>
      <c r="F94">
        <v>33</v>
      </c>
      <c r="G94" s="4">
        <v>44385</v>
      </c>
      <c r="H94" s="5">
        <v>74550</v>
      </c>
      <c r="I94" t="s">
        <v>16</v>
      </c>
    </row>
    <row r="95" spans="3:9" x14ac:dyDescent="0.35">
      <c r="C95" t="s">
        <v>45</v>
      </c>
      <c r="D95" t="s">
        <v>15</v>
      </c>
      <c r="E95" t="s">
        <v>9</v>
      </c>
      <c r="F95">
        <v>30</v>
      </c>
      <c r="G95" s="4">
        <v>44701</v>
      </c>
      <c r="H95" s="5">
        <v>67950</v>
      </c>
      <c r="I95" t="s">
        <v>16</v>
      </c>
    </row>
    <row r="96" spans="3:9" x14ac:dyDescent="0.35">
      <c r="C96" t="s">
        <v>90</v>
      </c>
      <c r="D96" t="s">
        <v>15</v>
      </c>
      <c r="E96" t="s">
        <v>21</v>
      </c>
      <c r="F96">
        <v>42</v>
      </c>
      <c r="G96" s="4">
        <v>44731</v>
      </c>
      <c r="H96" s="5">
        <v>70270</v>
      </c>
      <c r="I96" t="s">
        <v>24</v>
      </c>
    </row>
    <row r="97" spans="3:9" x14ac:dyDescent="0.35">
      <c r="C97" t="s">
        <v>46</v>
      </c>
      <c r="D97" t="s">
        <v>15</v>
      </c>
      <c r="E97" t="s">
        <v>9</v>
      </c>
      <c r="F97">
        <v>26</v>
      </c>
      <c r="G97" s="4">
        <v>44411</v>
      </c>
      <c r="H97" s="5">
        <v>53540</v>
      </c>
      <c r="I97" t="s">
        <v>16</v>
      </c>
    </row>
    <row r="98" spans="3:9" x14ac:dyDescent="0.35">
      <c r="C98" t="s">
        <v>58</v>
      </c>
      <c r="D98" t="s">
        <v>15</v>
      </c>
      <c r="E98" t="s">
        <v>19</v>
      </c>
      <c r="F98">
        <v>22</v>
      </c>
      <c r="G98" s="4">
        <v>44446</v>
      </c>
      <c r="H98" s="5">
        <v>112780</v>
      </c>
      <c r="I98" t="s">
        <v>13</v>
      </c>
    </row>
    <row r="99" spans="3:9" x14ac:dyDescent="0.35">
      <c r="C99" t="s">
        <v>70</v>
      </c>
      <c r="D99" t="s">
        <v>15</v>
      </c>
      <c r="E99" t="s">
        <v>9</v>
      </c>
      <c r="F99">
        <v>46</v>
      </c>
      <c r="G99" s="4">
        <v>44758</v>
      </c>
      <c r="H99" s="5">
        <v>70610</v>
      </c>
      <c r="I99" t="s">
        <v>16</v>
      </c>
    </row>
    <row r="100" spans="3:9" x14ac:dyDescent="0.35">
      <c r="C100" t="s">
        <v>75</v>
      </c>
      <c r="D100" t="s">
        <v>8</v>
      </c>
      <c r="E100" t="s">
        <v>19</v>
      </c>
      <c r="F100">
        <v>28</v>
      </c>
      <c r="G100" s="4">
        <v>44357</v>
      </c>
      <c r="H100" s="5">
        <v>53240</v>
      </c>
      <c r="I100" t="s">
        <v>16</v>
      </c>
    </row>
    <row r="101" spans="3:9" x14ac:dyDescent="0.35">
      <c r="C101" t="s">
        <v>49</v>
      </c>
      <c r="E101" t="s">
        <v>21</v>
      </c>
      <c r="F101">
        <v>37</v>
      </c>
      <c r="G101" s="4">
        <v>44146</v>
      </c>
      <c r="H101" s="5">
        <v>115440</v>
      </c>
      <c r="I101" t="s">
        <v>24</v>
      </c>
    </row>
    <row r="102" spans="3:9" x14ac:dyDescent="0.35">
      <c r="C102" t="s">
        <v>65</v>
      </c>
      <c r="D102" t="s">
        <v>15</v>
      </c>
      <c r="E102" t="s">
        <v>19</v>
      </c>
      <c r="F102">
        <v>32</v>
      </c>
      <c r="G102" s="4">
        <v>44465</v>
      </c>
      <c r="H102" s="5">
        <v>53540</v>
      </c>
      <c r="I102" t="s">
        <v>16</v>
      </c>
    </row>
    <row r="103" spans="3:9" x14ac:dyDescent="0.35">
      <c r="C103" t="s">
        <v>81</v>
      </c>
      <c r="D103" t="s">
        <v>8</v>
      </c>
      <c r="E103" t="s">
        <v>9</v>
      </c>
      <c r="F103">
        <v>30</v>
      </c>
      <c r="G103" s="4">
        <v>44861</v>
      </c>
      <c r="H103" s="5">
        <v>112570</v>
      </c>
      <c r="I103" t="s">
        <v>16</v>
      </c>
    </row>
    <row r="104" spans="3:9" x14ac:dyDescent="0.35">
      <c r="C104" t="s">
        <v>51</v>
      </c>
      <c r="D104" t="s">
        <v>15</v>
      </c>
      <c r="E104" t="s">
        <v>9</v>
      </c>
      <c r="F104">
        <v>33</v>
      </c>
      <c r="G104" s="4">
        <v>44701</v>
      </c>
      <c r="H104" s="5">
        <v>48530</v>
      </c>
      <c r="I104" t="s">
        <v>13</v>
      </c>
    </row>
    <row r="105" spans="3:9" x14ac:dyDescent="0.35">
      <c r="C105" t="s">
        <v>61</v>
      </c>
      <c r="D105" t="s">
        <v>8</v>
      </c>
      <c r="E105" t="s">
        <v>12</v>
      </c>
      <c r="F105">
        <v>24</v>
      </c>
      <c r="G105" s="4">
        <v>44148</v>
      </c>
      <c r="H105" s="5">
        <v>62780</v>
      </c>
      <c r="I105" t="s">
        <v>16</v>
      </c>
    </row>
    <row r="106" spans="3:9" x14ac:dyDescent="0.35">
      <c r="C106" t="s">
        <v>203</v>
      </c>
      <c r="F106">
        <f>SUBTOTAL(101,NZ[Age])</f>
        <v>30.52</v>
      </c>
      <c r="H106">
        <f>SUBTOTAL(101,NZ[Salary])</f>
        <v>77472.100000000006</v>
      </c>
      <c r="I106">
        <f>SUBTOTAL(103,NZ[Rating])</f>
        <v>100</v>
      </c>
    </row>
  </sheetData>
  <conditionalFormatting sqref="C1:C1048576">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2EC4-DDE2-4CB7-AC70-5AB590F93835}">
  <dimension ref="B2:H114"/>
  <sheetViews>
    <sheetView workbookViewId="0">
      <selection activeCell="B3" sqref="B3"/>
    </sheetView>
  </sheetViews>
  <sheetFormatPr defaultRowHeight="14.5" x14ac:dyDescent="0.35"/>
  <cols>
    <col min="2" max="2" width="27.1796875" bestFit="1" customWidth="1"/>
    <col min="3" max="3" width="9.36328125" bestFit="1" customWidth="1"/>
    <col min="4" max="4" width="6.453125" bestFit="1" customWidth="1"/>
    <col min="5" max="5" width="13.08984375" bestFit="1" customWidth="1"/>
    <col min="6" max="6" width="13" bestFit="1" customWidth="1"/>
    <col min="7" max="7" width="13.08984375" customWidth="1"/>
    <col min="8" max="8" width="8.36328125" bestFit="1" customWidth="1"/>
  </cols>
  <sheetData>
    <row r="2" spans="2:8" x14ac:dyDescent="0.35">
      <c r="B2" t="s">
        <v>0</v>
      </c>
      <c r="C2" t="s">
        <v>1</v>
      </c>
      <c r="D2" t="s">
        <v>3</v>
      </c>
      <c r="E2" t="s">
        <v>6</v>
      </c>
      <c r="F2" t="s">
        <v>4</v>
      </c>
      <c r="G2" t="s">
        <v>2</v>
      </c>
      <c r="H2" t="s">
        <v>5</v>
      </c>
    </row>
    <row r="3" spans="2:8" x14ac:dyDescent="0.35">
      <c r="B3" t="s">
        <v>156</v>
      </c>
      <c r="C3" t="s">
        <v>15</v>
      </c>
      <c r="D3">
        <v>20</v>
      </c>
      <c r="E3" t="s">
        <v>16</v>
      </c>
      <c r="F3" s="4">
        <v>44122</v>
      </c>
      <c r="G3" t="s">
        <v>12</v>
      </c>
      <c r="H3">
        <v>112650</v>
      </c>
    </row>
    <row r="4" spans="2:8" x14ac:dyDescent="0.35">
      <c r="B4" t="s">
        <v>176</v>
      </c>
      <c r="C4" t="s">
        <v>8</v>
      </c>
      <c r="D4">
        <v>32</v>
      </c>
      <c r="E4" t="s">
        <v>13</v>
      </c>
      <c r="F4" s="4">
        <v>44293</v>
      </c>
      <c r="G4" t="s">
        <v>12</v>
      </c>
      <c r="H4">
        <v>43840</v>
      </c>
    </row>
    <row r="5" spans="2:8" x14ac:dyDescent="0.35">
      <c r="B5" t="s">
        <v>143</v>
      </c>
      <c r="C5" t="s">
        <v>15</v>
      </c>
      <c r="D5">
        <v>31</v>
      </c>
      <c r="E5" t="s">
        <v>16</v>
      </c>
      <c r="F5" s="4">
        <v>44663</v>
      </c>
      <c r="G5" t="s">
        <v>9</v>
      </c>
      <c r="H5">
        <v>103550</v>
      </c>
    </row>
    <row r="6" spans="2:8" x14ac:dyDescent="0.35">
      <c r="B6" t="s">
        <v>201</v>
      </c>
      <c r="C6" t="s">
        <v>8</v>
      </c>
      <c r="D6">
        <v>32</v>
      </c>
      <c r="E6" t="s">
        <v>16</v>
      </c>
      <c r="F6" s="4">
        <v>44339</v>
      </c>
      <c r="G6" t="s">
        <v>56</v>
      </c>
      <c r="H6">
        <v>45510</v>
      </c>
    </row>
    <row r="7" spans="2:8" x14ac:dyDescent="0.35">
      <c r="B7" t="s">
        <v>142</v>
      </c>
      <c r="D7">
        <v>37</v>
      </c>
      <c r="E7" t="s">
        <v>24</v>
      </c>
      <c r="F7" s="4">
        <v>44085</v>
      </c>
      <c r="G7" t="s">
        <v>21</v>
      </c>
      <c r="H7">
        <v>115440</v>
      </c>
    </row>
    <row r="8" spans="2:8" x14ac:dyDescent="0.35">
      <c r="B8" t="s">
        <v>202</v>
      </c>
      <c r="C8" t="s">
        <v>8</v>
      </c>
      <c r="D8">
        <v>38</v>
      </c>
      <c r="E8" t="s">
        <v>13</v>
      </c>
      <c r="F8" s="4">
        <v>44268</v>
      </c>
      <c r="G8" t="s">
        <v>19</v>
      </c>
      <c r="H8">
        <v>56870</v>
      </c>
    </row>
    <row r="9" spans="2:8" x14ac:dyDescent="0.35">
      <c r="B9" t="s">
        <v>169</v>
      </c>
      <c r="C9" t="s">
        <v>8</v>
      </c>
      <c r="D9">
        <v>25</v>
      </c>
      <c r="E9" t="s">
        <v>16</v>
      </c>
      <c r="F9" s="4">
        <v>44144</v>
      </c>
      <c r="G9" t="s">
        <v>19</v>
      </c>
      <c r="H9">
        <v>92700</v>
      </c>
    </row>
    <row r="10" spans="2:8" x14ac:dyDescent="0.35">
      <c r="B10" t="s">
        <v>145</v>
      </c>
      <c r="D10">
        <v>32</v>
      </c>
      <c r="E10" t="s">
        <v>16</v>
      </c>
      <c r="F10" s="4">
        <v>44713</v>
      </c>
      <c r="G10" t="s">
        <v>12</v>
      </c>
      <c r="H10">
        <v>91310</v>
      </c>
    </row>
    <row r="11" spans="2:8" x14ac:dyDescent="0.35">
      <c r="B11" t="s">
        <v>115</v>
      </c>
      <c r="C11" t="s">
        <v>15</v>
      </c>
      <c r="D11">
        <v>33</v>
      </c>
      <c r="E11" t="s">
        <v>16</v>
      </c>
      <c r="F11" s="4">
        <v>44324</v>
      </c>
      <c r="G11" t="s">
        <v>19</v>
      </c>
      <c r="H11">
        <v>74550</v>
      </c>
    </row>
    <row r="12" spans="2:8" x14ac:dyDescent="0.35">
      <c r="B12" t="s">
        <v>128</v>
      </c>
      <c r="C12" t="s">
        <v>15</v>
      </c>
      <c r="D12">
        <v>25</v>
      </c>
      <c r="E12" t="s">
        <v>13</v>
      </c>
      <c r="F12" s="4">
        <v>44665</v>
      </c>
      <c r="G12" t="s">
        <v>9</v>
      </c>
      <c r="H12">
        <v>109190</v>
      </c>
    </row>
    <row r="13" spans="2:8" x14ac:dyDescent="0.35">
      <c r="B13" t="s">
        <v>194</v>
      </c>
      <c r="C13" t="s">
        <v>8</v>
      </c>
      <c r="D13">
        <v>40</v>
      </c>
      <c r="E13" t="s">
        <v>16</v>
      </c>
      <c r="F13" s="4">
        <v>44320</v>
      </c>
      <c r="G13" t="s">
        <v>12</v>
      </c>
      <c r="H13">
        <v>104410</v>
      </c>
    </row>
    <row r="14" spans="2:8" x14ac:dyDescent="0.35">
      <c r="B14" t="s">
        <v>177</v>
      </c>
      <c r="C14" t="s">
        <v>15</v>
      </c>
      <c r="D14">
        <v>30</v>
      </c>
      <c r="E14" t="s">
        <v>16</v>
      </c>
      <c r="F14" s="4">
        <v>44544</v>
      </c>
      <c r="G14" t="s">
        <v>21</v>
      </c>
      <c r="H14">
        <v>96800</v>
      </c>
    </row>
    <row r="15" spans="2:8" x14ac:dyDescent="0.35">
      <c r="B15" t="s">
        <v>123</v>
      </c>
      <c r="C15" t="s">
        <v>15</v>
      </c>
      <c r="D15">
        <v>28</v>
      </c>
      <c r="E15" t="s">
        <v>13</v>
      </c>
      <c r="F15" s="4">
        <v>43980</v>
      </c>
      <c r="G15" t="s">
        <v>21</v>
      </c>
      <c r="H15">
        <v>48170</v>
      </c>
    </row>
    <row r="16" spans="2:8" x14ac:dyDescent="0.35">
      <c r="B16" t="s">
        <v>140</v>
      </c>
      <c r="C16" t="s">
        <v>15</v>
      </c>
      <c r="D16">
        <v>21</v>
      </c>
      <c r="E16" t="s">
        <v>16</v>
      </c>
      <c r="F16" s="4">
        <v>44042</v>
      </c>
      <c r="G16" t="s">
        <v>9</v>
      </c>
      <c r="H16">
        <v>37920</v>
      </c>
    </row>
    <row r="17" spans="2:8" x14ac:dyDescent="0.35">
      <c r="B17" t="s">
        <v>178</v>
      </c>
      <c r="C17" t="s">
        <v>15</v>
      </c>
      <c r="D17">
        <v>34</v>
      </c>
      <c r="E17" t="s">
        <v>16</v>
      </c>
      <c r="F17" s="4">
        <v>44642</v>
      </c>
      <c r="G17" t="s">
        <v>9</v>
      </c>
      <c r="H17">
        <v>112650</v>
      </c>
    </row>
    <row r="18" spans="2:8" x14ac:dyDescent="0.35">
      <c r="B18" t="s">
        <v>165</v>
      </c>
      <c r="C18" t="s">
        <v>8</v>
      </c>
      <c r="D18">
        <v>34</v>
      </c>
      <c r="E18" t="s">
        <v>24</v>
      </c>
      <c r="F18" s="4">
        <v>44660</v>
      </c>
      <c r="G18" t="s">
        <v>19</v>
      </c>
      <c r="H18">
        <v>49630</v>
      </c>
    </row>
    <row r="19" spans="2:8" x14ac:dyDescent="0.35">
      <c r="B19" t="s">
        <v>199</v>
      </c>
      <c r="C19" t="s">
        <v>15</v>
      </c>
      <c r="D19">
        <v>36</v>
      </c>
      <c r="E19" t="s">
        <v>16</v>
      </c>
      <c r="F19" s="4">
        <v>43958</v>
      </c>
      <c r="G19" t="s">
        <v>12</v>
      </c>
      <c r="H19">
        <v>118840</v>
      </c>
    </row>
    <row r="20" spans="2:8" x14ac:dyDescent="0.35">
      <c r="B20" t="s">
        <v>159</v>
      </c>
      <c r="C20" t="s">
        <v>15</v>
      </c>
      <c r="D20">
        <v>30</v>
      </c>
      <c r="E20" t="s">
        <v>16</v>
      </c>
      <c r="F20" s="4">
        <v>44789</v>
      </c>
      <c r="G20" t="s">
        <v>12</v>
      </c>
      <c r="H20">
        <v>69710</v>
      </c>
    </row>
    <row r="21" spans="2:8" x14ac:dyDescent="0.35">
      <c r="B21" t="s">
        <v>197</v>
      </c>
      <c r="C21" t="s">
        <v>15</v>
      </c>
      <c r="D21">
        <v>20</v>
      </c>
      <c r="E21" t="s">
        <v>16</v>
      </c>
      <c r="F21" s="4">
        <v>44683</v>
      </c>
      <c r="G21" t="s">
        <v>9</v>
      </c>
      <c r="H21">
        <v>79570</v>
      </c>
    </row>
    <row r="22" spans="2:8" x14ac:dyDescent="0.35">
      <c r="B22" t="s">
        <v>154</v>
      </c>
      <c r="C22" t="s">
        <v>8</v>
      </c>
      <c r="D22">
        <v>22</v>
      </c>
      <c r="E22" t="s">
        <v>13</v>
      </c>
      <c r="F22" s="4">
        <v>44388</v>
      </c>
      <c r="G22" t="s">
        <v>9</v>
      </c>
      <c r="H22">
        <v>76900</v>
      </c>
    </row>
    <row r="23" spans="2:8" x14ac:dyDescent="0.35">
      <c r="B23" t="s">
        <v>182</v>
      </c>
      <c r="C23" t="s">
        <v>15</v>
      </c>
      <c r="D23">
        <v>27</v>
      </c>
      <c r="E23" t="s">
        <v>16</v>
      </c>
      <c r="F23" s="4">
        <v>44073</v>
      </c>
      <c r="G23" t="s">
        <v>19</v>
      </c>
      <c r="H23">
        <v>54970</v>
      </c>
    </row>
    <row r="24" spans="2:8" x14ac:dyDescent="0.35">
      <c r="B24" t="s">
        <v>118</v>
      </c>
      <c r="C24" t="s">
        <v>15</v>
      </c>
      <c r="D24">
        <v>37</v>
      </c>
      <c r="E24" t="s">
        <v>24</v>
      </c>
      <c r="F24" s="4">
        <v>44277</v>
      </c>
      <c r="G24" t="s">
        <v>12</v>
      </c>
      <c r="H24">
        <v>88050</v>
      </c>
    </row>
    <row r="25" spans="2:8" x14ac:dyDescent="0.35">
      <c r="B25" t="s">
        <v>192</v>
      </c>
      <c r="C25" t="s">
        <v>15</v>
      </c>
      <c r="D25">
        <v>43</v>
      </c>
      <c r="E25" t="s">
        <v>16</v>
      </c>
      <c r="F25" s="4">
        <v>44558</v>
      </c>
      <c r="G25" t="s">
        <v>19</v>
      </c>
      <c r="H25">
        <v>36040</v>
      </c>
    </row>
    <row r="26" spans="2:8" x14ac:dyDescent="0.35">
      <c r="B26" t="s">
        <v>111</v>
      </c>
      <c r="C26" t="s">
        <v>8</v>
      </c>
      <c r="D26">
        <v>42</v>
      </c>
      <c r="E26" t="s">
        <v>10</v>
      </c>
      <c r="F26" s="4">
        <v>44718</v>
      </c>
      <c r="G26" t="s">
        <v>9</v>
      </c>
      <c r="H26">
        <v>75000</v>
      </c>
    </row>
    <row r="27" spans="2:8" x14ac:dyDescent="0.35">
      <c r="B27" t="s">
        <v>149</v>
      </c>
      <c r="C27" t="s">
        <v>15</v>
      </c>
      <c r="D27">
        <v>35</v>
      </c>
      <c r="E27" t="s">
        <v>16</v>
      </c>
      <c r="F27" s="4">
        <v>44666</v>
      </c>
      <c r="G27" t="s">
        <v>9</v>
      </c>
      <c r="H27">
        <v>40400</v>
      </c>
    </row>
    <row r="28" spans="2:8" x14ac:dyDescent="0.35">
      <c r="B28" t="s">
        <v>196</v>
      </c>
      <c r="C28" t="s">
        <v>15</v>
      </c>
      <c r="D28">
        <v>24</v>
      </c>
      <c r="E28" t="s">
        <v>16</v>
      </c>
      <c r="F28" s="4">
        <v>44625</v>
      </c>
      <c r="G28" t="s">
        <v>12</v>
      </c>
      <c r="H28">
        <v>100420</v>
      </c>
    </row>
    <row r="29" spans="2:8" x14ac:dyDescent="0.35">
      <c r="B29" t="s">
        <v>120</v>
      </c>
      <c r="C29" t="s">
        <v>8</v>
      </c>
      <c r="D29">
        <v>31</v>
      </c>
      <c r="E29" t="s">
        <v>16</v>
      </c>
      <c r="F29" s="4">
        <v>44604</v>
      </c>
      <c r="G29" t="s">
        <v>12</v>
      </c>
      <c r="H29">
        <v>58100</v>
      </c>
    </row>
    <row r="30" spans="2:8" x14ac:dyDescent="0.35">
      <c r="B30" t="s">
        <v>114</v>
      </c>
      <c r="C30" t="s">
        <v>8</v>
      </c>
      <c r="D30">
        <v>44</v>
      </c>
      <c r="E30" t="s">
        <v>16</v>
      </c>
      <c r="F30" s="4">
        <v>44985</v>
      </c>
      <c r="G30" t="s">
        <v>12</v>
      </c>
      <c r="H30">
        <v>114870</v>
      </c>
    </row>
    <row r="31" spans="2:8" x14ac:dyDescent="0.35">
      <c r="B31" t="s">
        <v>158</v>
      </c>
      <c r="C31" t="s">
        <v>8</v>
      </c>
      <c r="D31">
        <v>32</v>
      </c>
      <c r="E31" t="s">
        <v>16</v>
      </c>
      <c r="F31" s="4">
        <v>44549</v>
      </c>
      <c r="G31" t="s">
        <v>9</v>
      </c>
      <c r="H31">
        <v>41570</v>
      </c>
    </row>
    <row r="32" spans="2:8" x14ac:dyDescent="0.35">
      <c r="B32" t="s">
        <v>173</v>
      </c>
      <c r="C32" t="s">
        <v>8</v>
      </c>
      <c r="D32">
        <v>30</v>
      </c>
      <c r="E32" t="s">
        <v>16</v>
      </c>
      <c r="F32" s="4">
        <v>44800</v>
      </c>
      <c r="G32" t="s">
        <v>9</v>
      </c>
      <c r="H32">
        <v>112570</v>
      </c>
    </row>
    <row r="33" spans="2:8" x14ac:dyDescent="0.35">
      <c r="B33" t="s">
        <v>151</v>
      </c>
      <c r="C33" t="s">
        <v>15</v>
      </c>
      <c r="D33">
        <v>26</v>
      </c>
      <c r="E33" t="s">
        <v>16</v>
      </c>
      <c r="F33" s="4">
        <v>44164</v>
      </c>
      <c r="G33" t="s">
        <v>9</v>
      </c>
      <c r="H33">
        <v>47360</v>
      </c>
    </row>
    <row r="34" spans="2:8" x14ac:dyDescent="0.35">
      <c r="B34" t="s">
        <v>126</v>
      </c>
      <c r="C34" t="s">
        <v>8</v>
      </c>
      <c r="D34">
        <v>21</v>
      </c>
      <c r="E34" t="s">
        <v>16</v>
      </c>
      <c r="F34" s="4">
        <v>44256</v>
      </c>
      <c r="G34" t="s">
        <v>21</v>
      </c>
      <c r="H34">
        <v>65920</v>
      </c>
    </row>
    <row r="35" spans="2:8" x14ac:dyDescent="0.35">
      <c r="B35" t="s">
        <v>200</v>
      </c>
      <c r="C35" t="s">
        <v>8</v>
      </c>
      <c r="D35">
        <v>28</v>
      </c>
      <c r="E35" t="s">
        <v>16</v>
      </c>
      <c r="F35" s="4">
        <v>44571</v>
      </c>
      <c r="G35" t="s">
        <v>9</v>
      </c>
      <c r="H35">
        <v>99970</v>
      </c>
    </row>
    <row r="36" spans="2:8" x14ac:dyDescent="0.35">
      <c r="B36" t="s">
        <v>133</v>
      </c>
      <c r="C36" t="s">
        <v>8</v>
      </c>
      <c r="D36">
        <v>25</v>
      </c>
      <c r="E36" t="s">
        <v>13</v>
      </c>
      <c r="F36" s="4">
        <v>44633</v>
      </c>
      <c r="G36" t="s">
        <v>12</v>
      </c>
      <c r="H36">
        <v>80700</v>
      </c>
    </row>
    <row r="37" spans="2:8" x14ac:dyDescent="0.35">
      <c r="B37" t="s">
        <v>155</v>
      </c>
      <c r="C37" t="s">
        <v>15</v>
      </c>
      <c r="D37">
        <v>24</v>
      </c>
      <c r="E37" t="s">
        <v>24</v>
      </c>
      <c r="F37" s="4">
        <v>44375</v>
      </c>
      <c r="G37" t="s">
        <v>21</v>
      </c>
      <c r="H37">
        <v>52610</v>
      </c>
    </row>
    <row r="38" spans="2:8" x14ac:dyDescent="0.35">
      <c r="B38" t="s">
        <v>180</v>
      </c>
      <c r="C38" t="s">
        <v>15</v>
      </c>
      <c r="D38">
        <v>29</v>
      </c>
      <c r="E38" t="s">
        <v>24</v>
      </c>
      <c r="F38" s="4">
        <v>44119</v>
      </c>
      <c r="G38" t="s">
        <v>12</v>
      </c>
      <c r="H38">
        <v>112110</v>
      </c>
    </row>
    <row r="39" spans="2:8" x14ac:dyDescent="0.35">
      <c r="B39" t="s">
        <v>152</v>
      </c>
      <c r="C39" t="s">
        <v>8</v>
      </c>
      <c r="D39">
        <v>27</v>
      </c>
      <c r="E39" t="s">
        <v>16</v>
      </c>
      <c r="F39" s="4">
        <v>44061</v>
      </c>
      <c r="G39" t="s">
        <v>56</v>
      </c>
      <c r="H39">
        <v>119110</v>
      </c>
    </row>
    <row r="40" spans="2:8" x14ac:dyDescent="0.35">
      <c r="B40" t="s">
        <v>150</v>
      </c>
      <c r="C40" t="s">
        <v>15</v>
      </c>
      <c r="D40">
        <v>22</v>
      </c>
      <c r="E40" t="s">
        <v>13</v>
      </c>
      <c r="F40" s="4">
        <v>44384</v>
      </c>
      <c r="G40" t="s">
        <v>19</v>
      </c>
      <c r="H40">
        <v>112780</v>
      </c>
    </row>
    <row r="41" spans="2:8" x14ac:dyDescent="0.35">
      <c r="B41" t="s">
        <v>175</v>
      </c>
      <c r="C41" t="s">
        <v>8</v>
      </c>
      <c r="D41">
        <v>36</v>
      </c>
      <c r="E41" t="s">
        <v>16</v>
      </c>
      <c r="F41" s="4">
        <v>44023</v>
      </c>
      <c r="G41" t="s">
        <v>9</v>
      </c>
      <c r="H41">
        <v>114890</v>
      </c>
    </row>
    <row r="42" spans="2:8" x14ac:dyDescent="0.35">
      <c r="B42" t="s">
        <v>146</v>
      </c>
      <c r="C42" t="s">
        <v>15</v>
      </c>
      <c r="D42">
        <v>27</v>
      </c>
      <c r="E42" t="s">
        <v>16</v>
      </c>
      <c r="F42" s="4">
        <v>44506</v>
      </c>
      <c r="G42" t="s">
        <v>21</v>
      </c>
      <c r="H42">
        <v>48980</v>
      </c>
    </row>
    <row r="43" spans="2:8" x14ac:dyDescent="0.35">
      <c r="B43" t="s">
        <v>170</v>
      </c>
      <c r="C43" t="s">
        <v>15</v>
      </c>
      <c r="D43">
        <v>21</v>
      </c>
      <c r="E43" t="s">
        <v>16</v>
      </c>
      <c r="F43" s="4">
        <v>44180</v>
      </c>
      <c r="G43" t="s">
        <v>56</v>
      </c>
      <c r="H43">
        <v>75880</v>
      </c>
    </row>
    <row r="44" spans="2:8" x14ac:dyDescent="0.35">
      <c r="B44" t="s">
        <v>167</v>
      </c>
      <c r="C44" t="s">
        <v>8</v>
      </c>
      <c r="D44">
        <v>28</v>
      </c>
      <c r="E44" t="s">
        <v>16</v>
      </c>
      <c r="F44" s="4">
        <v>44296</v>
      </c>
      <c r="G44" t="s">
        <v>19</v>
      </c>
      <c r="H44">
        <v>53240</v>
      </c>
    </row>
    <row r="45" spans="2:8" x14ac:dyDescent="0.35">
      <c r="B45" t="s">
        <v>122</v>
      </c>
      <c r="C45" t="s">
        <v>8</v>
      </c>
      <c r="D45">
        <v>34</v>
      </c>
      <c r="E45" t="s">
        <v>16</v>
      </c>
      <c r="F45" s="4">
        <v>44397</v>
      </c>
      <c r="G45" t="s">
        <v>21</v>
      </c>
      <c r="H45">
        <v>85000</v>
      </c>
    </row>
    <row r="46" spans="2:8" x14ac:dyDescent="0.35">
      <c r="B46" t="s">
        <v>179</v>
      </c>
      <c r="C46" t="s">
        <v>8</v>
      </c>
      <c r="D46">
        <v>21</v>
      </c>
      <c r="E46" t="s">
        <v>16</v>
      </c>
      <c r="F46" s="4">
        <v>44619</v>
      </c>
      <c r="G46" t="s">
        <v>12</v>
      </c>
      <c r="H46">
        <v>33920</v>
      </c>
    </row>
    <row r="47" spans="2:8" x14ac:dyDescent="0.35">
      <c r="B47" t="s">
        <v>188</v>
      </c>
      <c r="C47" t="s">
        <v>8</v>
      </c>
      <c r="D47">
        <v>33</v>
      </c>
      <c r="E47" t="s">
        <v>16</v>
      </c>
      <c r="F47" s="4">
        <v>44253</v>
      </c>
      <c r="G47" t="s">
        <v>12</v>
      </c>
      <c r="H47">
        <v>75280</v>
      </c>
    </row>
    <row r="48" spans="2:8" x14ac:dyDescent="0.35">
      <c r="B48" t="s">
        <v>130</v>
      </c>
      <c r="C48" t="s">
        <v>8</v>
      </c>
      <c r="D48">
        <v>34</v>
      </c>
      <c r="E48" t="s">
        <v>16</v>
      </c>
      <c r="F48" s="4">
        <v>44594</v>
      </c>
      <c r="G48" t="s">
        <v>21</v>
      </c>
      <c r="H48">
        <v>58940</v>
      </c>
    </row>
    <row r="49" spans="2:8" x14ac:dyDescent="0.35">
      <c r="B49" t="s">
        <v>136</v>
      </c>
      <c r="C49" t="s">
        <v>8</v>
      </c>
      <c r="D49">
        <v>28</v>
      </c>
      <c r="E49" t="s">
        <v>16</v>
      </c>
      <c r="F49" s="4">
        <v>44425</v>
      </c>
      <c r="G49" t="s">
        <v>9</v>
      </c>
      <c r="H49">
        <v>104770</v>
      </c>
    </row>
    <row r="50" spans="2:8" x14ac:dyDescent="0.35">
      <c r="B50" t="s">
        <v>125</v>
      </c>
      <c r="C50" t="s">
        <v>15</v>
      </c>
      <c r="D50">
        <v>21</v>
      </c>
      <c r="E50" t="s">
        <v>16</v>
      </c>
      <c r="F50" s="4">
        <v>44701</v>
      </c>
      <c r="G50" t="s">
        <v>9</v>
      </c>
      <c r="H50">
        <v>57090</v>
      </c>
    </row>
    <row r="51" spans="2:8" x14ac:dyDescent="0.35">
      <c r="B51" t="s">
        <v>160</v>
      </c>
      <c r="C51" t="s">
        <v>15</v>
      </c>
      <c r="D51">
        <v>27</v>
      </c>
      <c r="E51" t="s">
        <v>13</v>
      </c>
      <c r="F51" s="4">
        <v>44174</v>
      </c>
      <c r="G51" t="s">
        <v>21</v>
      </c>
      <c r="H51">
        <v>91650</v>
      </c>
    </row>
    <row r="52" spans="2:8" x14ac:dyDescent="0.35">
      <c r="B52" t="s">
        <v>183</v>
      </c>
      <c r="C52" t="s">
        <v>15</v>
      </c>
      <c r="D52">
        <v>42</v>
      </c>
      <c r="E52" t="s">
        <v>24</v>
      </c>
      <c r="F52" s="4">
        <v>44670</v>
      </c>
      <c r="G52" t="s">
        <v>21</v>
      </c>
      <c r="H52">
        <v>70270</v>
      </c>
    </row>
    <row r="53" spans="2:8" x14ac:dyDescent="0.35">
      <c r="B53" t="s">
        <v>129</v>
      </c>
      <c r="C53" t="s">
        <v>8</v>
      </c>
      <c r="D53">
        <v>28</v>
      </c>
      <c r="E53" t="s">
        <v>16</v>
      </c>
      <c r="F53" s="4">
        <v>44124</v>
      </c>
      <c r="G53" t="s">
        <v>21</v>
      </c>
      <c r="H53">
        <v>75970</v>
      </c>
    </row>
    <row r="54" spans="2:8" x14ac:dyDescent="0.35">
      <c r="B54" t="s">
        <v>112</v>
      </c>
      <c r="D54">
        <v>27</v>
      </c>
      <c r="E54" t="s">
        <v>13</v>
      </c>
      <c r="F54" s="4">
        <v>44212</v>
      </c>
      <c r="G54" t="s">
        <v>12</v>
      </c>
      <c r="H54">
        <v>90700</v>
      </c>
    </row>
    <row r="55" spans="2:8" x14ac:dyDescent="0.35">
      <c r="B55" t="s">
        <v>131</v>
      </c>
      <c r="C55" t="s">
        <v>15</v>
      </c>
      <c r="D55">
        <v>30</v>
      </c>
      <c r="E55" t="s">
        <v>16</v>
      </c>
      <c r="F55" s="4">
        <v>44607</v>
      </c>
      <c r="G55" t="s">
        <v>9</v>
      </c>
      <c r="H55">
        <v>60570</v>
      </c>
    </row>
    <row r="56" spans="2:8" x14ac:dyDescent="0.35">
      <c r="B56" t="s">
        <v>134</v>
      </c>
      <c r="C56" t="s">
        <v>15</v>
      </c>
      <c r="D56">
        <v>33</v>
      </c>
      <c r="E56" t="s">
        <v>16</v>
      </c>
      <c r="F56" s="4">
        <v>44103</v>
      </c>
      <c r="G56" t="s">
        <v>9</v>
      </c>
      <c r="H56">
        <v>115920</v>
      </c>
    </row>
    <row r="57" spans="2:8" x14ac:dyDescent="0.35">
      <c r="B57" t="s">
        <v>186</v>
      </c>
      <c r="C57" t="s">
        <v>8</v>
      </c>
      <c r="D57">
        <v>33</v>
      </c>
      <c r="E57" t="s">
        <v>16</v>
      </c>
      <c r="F57" s="4">
        <v>44006</v>
      </c>
      <c r="G57" t="s">
        <v>21</v>
      </c>
      <c r="H57">
        <v>65360</v>
      </c>
    </row>
    <row r="58" spans="2:8" x14ac:dyDescent="0.35">
      <c r="B58" t="s">
        <v>116</v>
      </c>
      <c r="D58">
        <v>30</v>
      </c>
      <c r="E58" t="s">
        <v>16</v>
      </c>
      <c r="F58" s="4">
        <v>44535</v>
      </c>
      <c r="G58" t="s">
        <v>21</v>
      </c>
      <c r="H58">
        <v>64000</v>
      </c>
    </row>
    <row r="59" spans="2:8" x14ac:dyDescent="0.35">
      <c r="B59" t="s">
        <v>195</v>
      </c>
      <c r="C59" t="s">
        <v>8</v>
      </c>
      <c r="D59">
        <v>34</v>
      </c>
      <c r="E59" t="s">
        <v>16</v>
      </c>
      <c r="F59" s="4">
        <v>44383</v>
      </c>
      <c r="G59" t="s">
        <v>21</v>
      </c>
      <c r="H59">
        <v>92450</v>
      </c>
    </row>
    <row r="60" spans="2:8" x14ac:dyDescent="0.35">
      <c r="B60" t="s">
        <v>113</v>
      </c>
      <c r="C60" t="s">
        <v>15</v>
      </c>
      <c r="D60">
        <v>31</v>
      </c>
      <c r="E60" t="s">
        <v>16</v>
      </c>
      <c r="F60" s="4">
        <v>44450</v>
      </c>
      <c r="G60" t="s">
        <v>12</v>
      </c>
      <c r="H60">
        <v>48950</v>
      </c>
    </row>
    <row r="61" spans="2:8" x14ac:dyDescent="0.35">
      <c r="B61" t="s">
        <v>185</v>
      </c>
      <c r="C61" t="s">
        <v>8</v>
      </c>
      <c r="D61">
        <v>27</v>
      </c>
      <c r="E61" t="s">
        <v>16</v>
      </c>
      <c r="F61" s="4">
        <v>44625</v>
      </c>
      <c r="G61" t="s">
        <v>12</v>
      </c>
      <c r="H61">
        <v>83750</v>
      </c>
    </row>
    <row r="62" spans="2:8" x14ac:dyDescent="0.35">
      <c r="B62" t="s">
        <v>166</v>
      </c>
      <c r="C62" t="s">
        <v>8</v>
      </c>
      <c r="D62">
        <v>40</v>
      </c>
      <c r="E62" t="s">
        <v>16</v>
      </c>
      <c r="F62" s="4">
        <v>44276</v>
      </c>
      <c r="G62" t="s">
        <v>12</v>
      </c>
      <c r="H62">
        <v>87620</v>
      </c>
    </row>
    <row r="63" spans="2:8" x14ac:dyDescent="0.35">
      <c r="B63" t="s">
        <v>184</v>
      </c>
      <c r="C63" t="s">
        <v>8</v>
      </c>
      <c r="D63">
        <v>20</v>
      </c>
      <c r="E63" t="s">
        <v>24</v>
      </c>
      <c r="F63" s="4">
        <v>44476</v>
      </c>
      <c r="G63" t="s">
        <v>19</v>
      </c>
      <c r="H63">
        <v>68900</v>
      </c>
    </row>
    <row r="64" spans="2:8" x14ac:dyDescent="0.35">
      <c r="B64" t="s">
        <v>157</v>
      </c>
      <c r="C64" t="s">
        <v>15</v>
      </c>
      <c r="D64">
        <v>32</v>
      </c>
      <c r="E64" t="s">
        <v>16</v>
      </c>
      <c r="F64" s="4">
        <v>44403</v>
      </c>
      <c r="G64" t="s">
        <v>19</v>
      </c>
      <c r="H64">
        <v>53540</v>
      </c>
    </row>
    <row r="65" spans="2:8" x14ac:dyDescent="0.35">
      <c r="B65" t="s">
        <v>172</v>
      </c>
      <c r="C65" t="s">
        <v>15</v>
      </c>
      <c r="D65">
        <v>28</v>
      </c>
      <c r="E65" t="s">
        <v>42</v>
      </c>
      <c r="F65" s="4">
        <v>44758</v>
      </c>
      <c r="G65" t="s">
        <v>19</v>
      </c>
      <c r="H65">
        <v>43510</v>
      </c>
    </row>
    <row r="66" spans="2:8" x14ac:dyDescent="0.35">
      <c r="B66" t="s">
        <v>127</v>
      </c>
      <c r="C66" t="s">
        <v>8</v>
      </c>
      <c r="D66">
        <v>38</v>
      </c>
      <c r="E66" t="s">
        <v>10</v>
      </c>
      <c r="F66" s="4">
        <v>44316</v>
      </c>
      <c r="G66" t="s">
        <v>19</v>
      </c>
      <c r="H66">
        <v>109160</v>
      </c>
    </row>
    <row r="67" spans="2:8" x14ac:dyDescent="0.35">
      <c r="B67" t="s">
        <v>198</v>
      </c>
      <c r="C67" t="s">
        <v>15</v>
      </c>
      <c r="D67">
        <v>40</v>
      </c>
      <c r="E67" t="s">
        <v>16</v>
      </c>
      <c r="F67" s="4">
        <v>44204</v>
      </c>
      <c r="G67" t="s">
        <v>9</v>
      </c>
      <c r="H67">
        <v>99750</v>
      </c>
    </row>
    <row r="68" spans="2:8" x14ac:dyDescent="0.35">
      <c r="B68" t="s">
        <v>124</v>
      </c>
      <c r="C68" t="s">
        <v>8</v>
      </c>
      <c r="D68">
        <v>31</v>
      </c>
      <c r="E68" t="s">
        <v>16</v>
      </c>
      <c r="F68" s="4">
        <v>44084</v>
      </c>
      <c r="G68" t="s">
        <v>12</v>
      </c>
      <c r="H68">
        <v>41980</v>
      </c>
    </row>
    <row r="69" spans="2:8" x14ac:dyDescent="0.35">
      <c r="B69" t="s">
        <v>187</v>
      </c>
      <c r="C69" t="s">
        <v>15</v>
      </c>
      <c r="D69">
        <v>36</v>
      </c>
      <c r="E69" t="s">
        <v>16</v>
      </c>
      <c r="F69" s="4">
        <v>44272</v>
      </c>
      <c r="G69" t="s">
        <v>21</v>
      </c>
      <c r="H69">
        <v>71380</v>
      </c>
    </row>
    <row r="70" spans="2:8" x14ac:dyDescent="0.35">
      <c r="B70" t="s">
        <v>191</v>
      </c>
      <c r="C70" t="s">
        <v>15</v>
      </c>
      <c r="D70">
        <v>27</v>
      </c>
      <c r="E70" t="s">
        <v>42</v>
      </c>
      <c r="F70" s="4">
        <v>44547</v>
      </c>
      <c r="G70" t="s">
        <v>9</v>
      </c>
      <c r="H70">
        <v>113280</v>
      </c>
    </row>
    <row r="71" spans="2:8" x14ac:dyDescent="0.35">
      <c r="B71" t="s">
        <v>181</v>
      </c>
      <c r="C71" t="s">
        <v>8</v>
      </c>
      <c r="D71">
        <v>33</v>
      </c>
      <c r="E71" t="s">
        <v>16</v>
      </c>
      <c r="F71" s="4">
        <v>44747</v>
      </c>
      <c r="G71" t="s">
        <v>21</v>
      </c>
      <c r="H71">
        <v>86570</v>
      </c>
    </row>
    <row r="72" spans="2:8" x14ac:dyDescent="0.35">
      <c r="B72" t="s">
        <v>139</v>
      </c>
      <c r="C72" t="s">
        <v>15</v>
      </c>
      <c r="D72">
        <v>26</v>
      </c>
      <c r="E72" t="s">
        <v>16</v>
      </c>
      <c r="F72" s="4">
        <v>44350</v>
      </c>
      <c r="G72" t="s">
        <v>9</v>
      </c>
      <c r="H72">
        <v>53540</v>
      </c>
    </row>
    <row r="73" spans="2:8" x14ac:dyDescent="0.35">
      <c r="B73" t="s">
        <v>190</v>
      </c>
      <c r="C73" t="s">
        <v>15</v>
      </c>
      <c r="D73">
        <v>37</v>
      </c>
      <c r="E73" t="s">
        <v>16</v>
      </c>
      <c r="F73" s="4">
        <v>44640</v>
      </c>
      <c r="G73" t="s">
        <v>12</v>
      </c>
      <c r="H73">
        <v>69070</v>
      </c>
    </row>
    <row r="74" spans="2:8" x14ac:dyDescent="0.35">
      <c r="B74" t="s">
        <v>121</v>
      </c>
      <c r="C74" t="s">
        <v>8</v>
      </c>
      <c r="D74">
        <v>30</v>
      </c>
      <c r="E74" t="s">
        <v>24</v>
      </c>
      <c r="F74" s="4">
        <v>44328</v>
      </c>
      <c r="G74" t="s">
        <v>21</v>
      </c>
      <c r="H74">
        <v>67910</v>
      </c>
    </row>
    <row r="75" spans="2:8" x14ac:dyDescent="0.35">
      <c r="B75" t="s">
        <v>119</v>
      </c>
      <c r="C75" t="s">
        <v>15</v>
      </c>
      <c r="D75">
        <v>30</v>
      </c>
      <c r="E75" t="s">
        <v>16</v>
      </c>
      <c r="F75" s="4">
        <v>44214</v>
      </c>
      <c r="G75" t="s">
        <v>12</v>
      </c>
      <c r="H75">
        <v>69120</v>
      </c>
    </row>
    <row r="76" spans="2:8" x14ac:dyDescent="0.35">
      <c r="B76" t="s">
        <v>132</v>
      </c>
      <c r="C76" t="s">
        <v>8</v>
      </c>
      <c r="D76">
        <v>34</v>
      </c>
      <c r="E76" t="s">
        <v>16</v>
      </c>
      <c r="F76" s="4">
        <v>44550</v>
      </c>
      <c r="G76" t="s">
        <v>21</v>
      </c>
      <c r="H76">
        <v>60130</v>
      </c>
    </row>
    <row r="77" spans="2:8" x14ac:dyDescent="0.35">
      <c r="B77" t="s">
        <v>161</v>
      </c>
      <c r="C77" t="s">
        <v>15</v>
      </c>
      <c r="D77">
        <v>23</v>
      </c>
      <c r="E77" t="s">
        <v>16</v>
      </c>
      <c r="F77" s="4">
        <v>44378</v>
      </c>
      <c r="G77" t="s">
        <v>9</v>
      </c>
      <c r="H77">
        <v>106460</v>
      </c>
    </row>
    <row r="78" spans="2:8" x14ac:dyDescent="0.35">
      <c r="B78" t="s">
        <v>148</v>
      </c>
      <c r="C78" t="s">
        <v>8</v>
      </c>
      <c r="D78">
        <v>37</v>
      </c>
      <c r="E78" t="s">
        <v>16</v>
      </c>
      <c r="F78" s="4">
        <v>44389</v>
      </c>
      <c r="G78" t="s">
        <v>56</v>
      </c>
      <c r="H78">
        <v>118100</v>
      </c>
    </row>
    <row r="79" spans="2:8" x14ac:dyDescent="0.35">
      <c r="B79" t="s">
        <v>164</v>
      </c>
      <c r="C79" t="s">
        <v>8</v>
      </c>
      <c r="D79">
        <v>36</v>
      </c>
      <c r="E79" t="s">
        <v>16</v>
      </c>
      <c r="F79" s="4">
        <v>44468</v>
      </c>
      <c r="G79" t="s">
        <v>9</v>
      </c>
      <c r="H79">
        <v>78390</v>
      </c>
    </row>
    <row r="80" spans="2:8" x14ac:dyDescent="0.35">
      <c r="B80" t="s">
        <v>147</v>
      </c>
      <c r="C80" t="s">
        <v>8</v>
      </c>
      <c r="D80">
        <v>30</v>
      </c>
      <c r="E80" t="s">
        <v>16</v>
      </c>
      <c r="F80" s="4">
        <v>44789</v>
      </c>
      <c r="G80" t="s">
        <v>9</v>
      </c>
      <c r="H80">
        <v>114180</v>
      </c>
    </row>
    <row r="81" spans="2:8" x14ac:dyDescent="0.35">
      <c r="B81" t="s">
        <v>189</v>
      </c>
      <c r="C81" t="s">
        <v>8</v>
      </c>
      <c r="D81">
        <v>28</v>
      </c>
      <c r="E81" t="s">
        <v>16</v>
      </c>
      <c r="F81" s="4">
        <v>44590</v>
      </c>
      <c r="G81" t="s">
        <v>9</v>
      </c>
      <c r="H81">
        <v>104120</v>
      </c>
    </row>
    <row r="82" spans="2:8" x14ac:dyDescent="0.35">
      <c r="B82" t="s">
        <v>138</v>
      </c>
      <c r="C82" t="s">
        <v>15</v>
      </c>
      <c r="D82">
        <v>30</v>
      </c>
      <c r="E82" t="s">
        <v>16</v>
      </c>
      <c r="F82" s="4">
        <v>44640</v>
      </c>
      <c r="G82" t="s">
        <v>9</v>
      </c>
      <c r="H82">
        <v>67950</v>
      </c>
    </row>
    <row r="83" spans="2:8" x14ac:dyDescent="0.35">
      <c r="B83" t="s">
        <v>137</v>
      </c>
      <c r="C83" t="s">
        <v>8</v>
      </c>
      <c r="D83">
        <v>29</v>
      </c>
      <c r="E83" t="s">
        <v>16</v>
      </c>
      <c r="F83" s="4">
        <v>43962</v>
      </c>
      <c r="G83" t="s">
        <v>12</v>
      </c>
      <c r="H83">
        <v>34980</v>
      </c>
    </row>
    <row r="84" spans="2:8" x14ac:dyDescent="0.35">
      <c r="B84" t="s">
        <v>153</v>
      </c>
      <c r="C84" t="s">
        <v>8</v>
      </c>
      <c r="D84">
        <v>24</v>
      </c>
      <c r="E84" t="s">
        <v>16</v>
      </c>
      <c r="F84" s="4">
        <v>44087</v>
      </c>
      <c r="G84" t="s">
        <v>12</v>
      </c>
      <c r="H84">
        <v>62780</v>
      </c>
    </row>
    <row r="85" spans="2:8" x14ac:dyDescent="0.35">
      <c r="B85" t="s">
        <v>117</v>
      </c>
      <c r="C85" t="s">
        <v>15</v>
      </c>
      <c r="D85">
        <v>20</v>
      </c>
      <c r="E85" t="s">
        <v>16</v>
      </c>
      <c r="F85" s="4">
        <v>44397</v>
      </c>
      <c r="G85" t="s">
        <v>12</v>
      </c>
      <c r="H85">
        <v>107700</v>
      </c>
    </row>
    <row r="86" spans="2:8" x14ac:dyDescent="0.35">
      <c r="B86" t="s">
        <v>168</v>
      </c>
      <c r="C86" t="s">
        <v>15</v>
      </c>
      <c r="D86">
        <v>25</v>
      </c>
      <c r="E86" t="s">
        <v>16</v>
      </c>
      <c r="F86" s="4">
        <v>44322</v>
      </c>
      <c r="G86" t="s">
        <v>19</v>
      </c>
      <c r="H86">
        <v>65700</v>
      </c>
    </row>
    <row r="87" spans="2:8" x14ac:dyDescent="0.35">
      <c r="B87" t="s">
        <v>135</v>
      </c>
      <c r="C87" t="s">
        <v>8</v>
      </c>
      <c r="D87">
        <v>33</v>
      </c>
      <c r="E87" t="s">
        <v>42</v>
      </c>
      <c r="F87" s="4">
        <v>44313</v>
      </c>
      <c r="G87" t="s">
        <v>12</v>
      </c>
      <c r="H87">
        <v>75480</v>
      </c>
    </row>
    <row r="88" spans="2:8" x14ac:dyDescent="0.35">
      <c r="B88" t="s">
        <v>174</v>
      </c>
      <c r="C88" t="s">
        <v>15</v>
      </c>
      <c r="D88">
        <v>33</v>
      </c>
      <c r="E88" t="s">
        <v>16</v>
      </c>
      <c r="F88" s="4">
        <v>44448</v>
      </c>
      <c r="G88" t="s">
        <v>12</v>
      </c>
      <c r="H88">
        <v>53870</v>
      </c>
    </row>
    <row r="89" spans="2:8" x14ac:dyDescent="0.35">
      <c r="B89" t="s">
        <v>141</v>
      </c>
      <c r="C89" t="s">
        <v>8</v>
      </c>
      <c r="D89">
        <v>36</v>
      </c>
      <c r="E89" t="s">
        <v>16</v>
      </c>
      <c r="F89" s="4">
        <v>44433</v>
      </c>
      <c r="G89" t="s">
        <v>19</v>
      </c>
      <c r="H89">
        <v>78540</v>
      </c>
    </row>
    <row r="90" spans="2:8" x14ac:dyDescent="0.35">
      <c r="B90" t="s">
        <v>193</v>
      </c>
      <c r="C90" t="s">
        <v>15</v>
      </c>
      <c r="D90">
        <v>19</v>
      </c>
      <c r="E90" t="s">
        <v>16</v>
      </c>
      <c r="F90" s="4">
        <v>44218</v>
      </c>
      <c r="G90" t="s">
        <v>9</v>
      </c>
      <c r="H90">
        <v>58960</v>
      </c>
    </row>
    <row r="91" spans="2:8" x14ac:dyDescent="0.35">
      <c r="B91" t="s">
        <v>162</v>
      </c>
      <c r="C91" t="s">
        <v>15</v>
      </c>
      <c r="D91">
        <v>46</v>
      </c>
      <c r="E91" t="s">
        <v>16</v>
      </c>
      <c r="F91" s="4">
        <v>44697</v>
      </c>
      <c r="G91" t="s">
        <v>9</v>
      </c>
      <c r="H91">
        <v>70610</v>
      </c>
    </row>
    <row r="92" spans="2:8" x14ac:dyDescent="0.35">
      <c r="B92" t="s">
        <v>171</v>
      </c>
      <c r="C92" t="s">
        <v>15</v>
      </c>
      <c r="D92">
        <v>33</v>
      </c>
      <c r="E92" t="s">
        <v>16</v>
      </c>
      <c r="F92" s="4">
        <v>44181</v>
      </c>
      <c r="G92" t="s">
        <v>21</v>
      </c>
      <c r="H92">
        <v>59430</v>
      </c>
    </row>
    <row r="93" spans="2:8" x14ac:dyDescent="0.35">
      <c r="B93" t="s">
        <v>144</v>
      </c>
      <c r="C93" t="s">
        <v>15</v>
      </c>
      <c r="D93">
        <v>33</v>
      </c>
      <c r="E93" t="s">
        <v>13</v>
      </c>
      <c r="F93" s="4">
        <v>44640</v>
      </c>
      <c r="G93" t="s">
        <v>9</v>
      </c>
      <c r="H93">
        <v>48530</v>
      </c>
    </row>
    <row r="94" spans="2:8" x14ac:dyDescent="0.35">
      <c r="B94" t="s">
        <v>163</v>
      </c>
      <c r="C94" t="s">
        <v>8</v>
      </c>
      <c r="D94">
        <v>33</v>
      </c>
      <c r="E94" t="s">
        <v>16</v>
      </c>
      <c r="F94" s="4">
        <v>44129</v>
      </c>
      <c r="G94" t="s">
        <v>12</v>
      </c>
      <c r="H94">
        <v>96140</v>
      </c>
    </row>
    <row r="95" spans="2:8" x14ac:dyDescent="0.35">
      <c r="B95" t="s">
        <v>156</v>
      </c>
      <c r="C95" t="s">
        <v>15</v>
      </c>
      <c r="D95">
        <v>20</v>
      </c>
      <c r="E95" t="s">
        <v>16</v>
      </c>
      <c r="F95" s="4">
        <v>44122</v>
      </c>
      <c r="G95" t="s">
        <v>12</v>
      </c>
      <c r="H95">
        <v>112650</v>
      </c>
    </row>
    <row r="96" spans="2:8" x14ac:dyDescent="0.35">
      <c r="B96" t="s">
        <v>176</v>
      </c>
      <c r="C96" t="s">
        <v>8</v>
      </c>
      <c r="D96">
        <v>32</v>
      </c>
      <c r="E96" t="s">
        <v>13</v>
      </c>
      <c r="F96" s="4">
        <v>44293</v>
      </c>
      <c r="G96" t="s">
        <v>12</v>
      </c>
      <c r="H96">
        <v>43840</v>
      </c>
    </row>
    <row r="97" spans="2:8" x14ac:dyDescent="0.35">
      <c r="B97" t="s">
        <v>143</v>
      </c>
      <c r="C97" t="s">
        <v>15</v>
      </c>
      <c r="D97">
        <v>31</v>
      </c>
      <c r="E97" t="s">
        <v>16</v>
      </c>
      <c r="F97" s="4">
        <v>44663</v>
      </c>
      <c r="G97" t="s">
        <v>9</v>
      </c>
      <c r="H97">
        <v>103550</v>
      </c>
    </row>
    <row r="98" spans="2:8" x14ac:dyDescent="0.35">
      <c r="B98" t="s">
        <v>201</v>
      </c>
      <c r="C98" t="s">
        <v>8</v>
      </c>
      <c r="D98">
        <v>32</v>
      </c>
      <c r="E98" t="s">
        <v>16</v>
      </c>
      <c r="F98" s="4">
        <v>44339</v>
      </c>
      <c r="G98" t="s">
        <v>56</v>
      </c>
      <c r="H98">
        <v>45510</v>
      </c>
    </row>
    <row r="99" spans="2:8" x14ac:dyDescent="0.35">
      <c r="B99" t="s">
        <v>142</v>
      </c>
      <c r="D99">
        <v>37</v>
      </c>
      <c r="E99" t="s">
        <v>24</v>
      </c>
      <c r="F99" s="4">
        <v>44085</v>
      </c>
      <c r="G99" t="s">
        <v>21</v>
      </c>
      <c r="H99">
        <v>115440</v>
      </c>
    </row>
    <row r="100" spans="2:8" x14ac:dyDescent="0.35">
      <c r="B100" t="s">
        <v>202</v>
      </c>
      <c r="C100" t="s">
        <v>8</v>
      </c>
      <c r="D100">
        <v>38</v>
      </c>
      <c r="E100" t="s">
        <v>13</v>
      </c>
      <c r="F100" s="4">
        <v>44268</v>
      </c>
      <c r="G100" t="s">
        <v>19</v>
      </c>
      <c r="H100">
        <v>56870</v>
      </c>
    </row>
    <row r="101" spans="2:8" x14ac:dyDescent="0.35">
      <c r="B101" t="s">
        <v>169</v>
      </c>
      <c r="C101" t="s">
        <v>8</v>
      </c>
      <c r="D101">
        <v>25</v>
      </c>
      <c r="E101" t="s">
        <v>16</v>
      </c>
      <c r="F101" s="4">
        <v>44144</v>
      </c>
      <c r="G101" t="s">
        <v>19</v>
      </c>
      <c r="H101">
        <v>92700</v>
      </c>
    </row>
    <row r="102" spans="2:8" x14ac:dyDescent="0.35">
      <c r="B102" t="s">
        <v>145</v>
      </c>
      <c r="D102">
        <v>32</v>
      </c>
      <c r="E102" t="s">
        <v>16</v>
      </c>
      <c r="F102" s="4">
        <v>44713</v>
      </c>
      <c r="G102" t="s">
        <v>12</v>
      </c>
      <c r="H102">
        <v>91310</v>
      </c>
    </row>
    <row r="103" spans="2:8" x14ac:dyDescent="0.35">
      <c r="B103" t="s">
        <v>115</v>
      </c>
      <c r="C103" t="s">
        <v>15</v>
      </c>
      <c r="D103">
        <v>33</v>
      </c>
      <c r="E103" t="s">
        <v>16</v>
      </c>
      <c r="F103" s="4">
        <v>44324</v>
      </c>
      <c r="G103" t="s">
        <v>19</v>
      </c>
      <c r="H103">
        <v>74550</v>
      </c>
    </row>
    <row r="104" spans="2:8" x14ac:dyDescent="0.35">
      <c r="B104" t="s">
        <v>128</v>
      </c>
      <c r="C104" t="s">
        <v>15</v>
      </c>
      <c r="D104">
        <v>25</v>
      </c>
      <c r="E104" t="s">
        <v>13</v>
      </c>
      <c r="F104" s="4">
        <v>44665</v>
      </c>
      <c r="G104" t="s">
        <v>9</v>
      </c>
      <c r="H104">
        <v>109190</v>
      </c>
    </row>
    <row r="105" spans="2:8" x14ac:dyDescent="0.35">
      <c r="B105" t="s">
        <v>194</v>
      </c>
      <c r="C105" t="s">
        <v>8</v>
      </c>
      <c r="D105">
        <v>40</v>
      </c>
      <c r="E105" t="s">
        <v>16</v>
      </c>
      <c r="F105" s="4">
        <v>44320</v>
      </c>
      <c r="G105" t="s">
        <v>12</v>
      </c>
      <c r="H105">
        <v>104410</v>
      </c>
    </row>
    <row r="106" spans="2:8" x14ac:dyDescent="0.35">
      <c r="B106" t="s">
        <v>177</v>
      </c>
      <c r="C106" t="s">
        <v>15</v>
      </c>
      <c r="D106">
        <v>30</v>
      </c>
      <c r="E106" t="s">
        <v>16</v>
      </c>
      <c r="F106" s="4">
        <v>44544</v>
      </c>
      <c r="G106" t="s">
        <v>21</v>
      </c>
      <c r="H106">
        <v>96800</v>
      </c>
    </row>
    <row r="107" spans="2:8" x14ac:dyDescent="0.35">
      <c r="B107" t="s">
        <v>123</v>
      </c>
      <c r="C107" t="s">
        <v>15</v>
      </c>
      <c r="D107">
        <v>28</v>
      </c>
      <c r="E107" t="s">
        <v>13</v>
      </c>
      <c r="F107" s="4">
        <v>43980</v>
      </c>
      <c r="G107" t="s">
        <v>21</v>
      </c>
      <c r="H107">
        <v>48170</v>
      </c>
    </row>
    <row r="108" spans="2:8" x14ac:dyDescent="0.35">
      <c r="B108" t="s">
        <v>140</v>
      </c>
      <c r="C108" t="s">
        <v>15</v>
      </c>
      <c r="D108">
        <v>21</v>
      </c>
      <c r="E108" t="s">
        <v>16</v>
      </c>
      <c r="F108" s="4">
        <v>44042</v>
      </c>
      <c r="G108" t="s">
        <v>9</v>
      </c>
      <c r="H108">
        <v>37920</v>
      </c>
    </row>
    <row r="109" spans="2:8" x14ac:dyDescent="0.35">
      <c r="B109" t="s">
        <v>178</v>
      </c>
      <c r="C109" t="s">
        <v>15</v>
      </c>
      <c r="D109">
        <v>34</v>
      </c>
      <c r="E109" t="s">
        <v>16</v>
      </c>
      <c r="F109" s="4">
        <v>44642</v>
      </c>
      <c r="G109" t="s">
        <v>9</v>
      </c>
      <c r="H109">
        <v>112650</v>
      </c>
    </row>
    <row r="110" spans="2:8" x14ac:dyDescent="0.35">
      <c r="B110" t="s">
        <v>165</v>
      </c>
      <c r="C110" t="s">
        <v>8</v>
      </c>
      <c r="D110">
        <v>34</v>
      </c>
      <c r="E110" t="s">
        <v>24</v>
      </c>
      <c r="F110" s="4">
        <v>44660</v>
      </c>
      <c r="G110" t="s">
        <v>19</v>
      </c>
      <c r="H110">
        <v>49630</v>
      </c>
    </row>
    <row r="111" spans="2:8" x14ac:dyDescent="0.35">
      <c r="B111" t="s">
        <v>199</v>
      </c>
      <c r="C111" t="s">
        <v>15</v>
      </c>
      <c r="D111">
        <v>36</v>
      </c>
      <c r="E111" t="s">
        <v>16</v>
      </c>
      <c r="F111" s="4">
        <v>43958</v>
      </c>
      <c r="G111" t="s">
        <v>12</v>
      </c>
      <c r="H111">
        <v>118840</v>
      </c>
    </row>
    <row r="112" spans="2:8" x14ac:dyDescent="0.35">
      <c r="B112" t="s">
        <v>159</v>
      </c>
      <c r="C112" t="s">
        <v>15</v>
      </c>
      <c r="D112">
        <v>30</v>
      </c>
      <c r="E112" t="s">
        <v>16</v>
      </c>
      <c r="F112" s="4">
        <v>44789</v>
      </c>
      <c r="G112" t="s">
        <v>12</v>
      </c>
      <c r="H112">
        <v>69710</v>
      </c>
    </row>
    <row r="113" spans="2:8" x14ac:dyDescent="0.35">
      <c r="B113" t="s">
        <v>197</v>
      </c>
      <c r="C113" t="s">
        <v>15</v>
      </c>
      <c r="D113">
        <v>20</v>
      </c>
      <c r="E113" t="s">
        <v>16</v>
      </c>
      <c r="F113" s="4">
        <v>44683</v>
      </c>
      <c r="G113" t="s">
        <v>9</v>
      </c>
      <c r="H113">
        <v>79570</v>
      </c>
    </row>
    <row r="114" spans="2:8" x14ac:dyDescent="0.35">
      <c r="B114" t="s">
        <v>154</v>
      </c>
      <c r="C114" t="s">
        <v>8</v>
      </c>
      <c r="D114">
        <v>22</v>
      </c>
      <c r="E114" t="s">
        <v>13</v>
      </c>
      <c r="F114" s="4">
        <v>44388</v>
      </c>
      <c r="G114" t="s">
        <v>9</v>
      </c>
      <c r="H114">
        <v>76900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8F49-F5BF-435B-B0B9-D2F7E0938FB1}">
  <sheetPr>
    <tabColor theme="5"/>
  </sheetPr>
  <dimension ref="A1:J184"/>
  <sheetViews>
    <sheetView zoomScale="90" zoomScaleNormal="90" workbookViewId="0">
      <selection activeCell="L3" sqref="L3"/>
    </sheetView>
  </sheetViews>
  <sheetFormatPr defaultRowHeight="14.5" x14ac:dyDescent="0.35"/>
  <cols>
    <col min="1" max="1" width="27.1796875" bestFit="1" customWidth="1"/>
    <col min="2" max="2" width="9.36328125" bestFit="1" customWidth="1"/>
    <col min="3" max="3" width="6.453125" bestFit="1" customWidth="1"/>
    <col min="4" max="4" width="13.08984375" bestFit="1" customWidth="1"/>
    <col min="5" max="5" width="13" bestFit="1" customWidth="1"/>
    <col min="6" max="6" width="13.36328125" bestFit="1" customWidth="1"/>
    <col min="7" max="7" width="12.54296875" style="18" bestFit="1" customWidth="1"/>
    <col min="8" max="8" width="10" bestFit="1" customWidth="1"/>
    <col min="9" max="9" width="10.36328125" style="7" bestFit="1" customWidth="1"/>
    <col min="10" max="10" width="14.90625" bestFit="1" customWidth="1"/>
    <col min="11" max="11" width="17.08984375" bestFit="1" customWidth="1"/>
    <col min="12" max="12" width="17.36328125" bestFit="1" customWidth="1"/>
    <col min="13" max="13" width="10.36328125" bestFit="1" customWidth="1"/>
  </cols>
  <sheetData>
    <row r="1" spans="1:10" x14ac:dyDescent="0.35">
      <c r="A1" t="s">
        <v>0</v>
      </c>
      <c r="B1" t="s">
        <v>1</v>
      </c>
      <c r="C1" t="s">
        <v>3</v>
      </c>
      <c r="D1" t="s">
        <v>6</v>
      </c>
      <c r="E1" t="s">
        <v>4</v>
      </c>
      <c r="F1" t="s">
        <v>2</v>
      </c>
      <c r="G1" s="18" t="s">
        <v>5</v>
      </c>
      <c r="H1" t="s">
        <v>204</v>
      </c>
      <c r="I1" s="9" t="s">
        <v>213</v>
      </c>
      <c r="J1" t="s">
        <v>230</v>
      </c>
    </row>
    <row r="2" spans="1:10" x14ac:dyDescent="0.35">
      <c r="A2" t="s">
        <v>152</v>
      </c>
      <c r="B2" t="s">
        <v>8</v>
      </c>
      <c r="C2">
        <v>27</v>
      </c>
      <c r="D2" t="s">
        <v>16</v>
      </c>
      <c r="E2" s="6">
        <v>44061</v>
      </c>
      <c r="F2" t="s">
        <v>56</v>
      </c>
      <c r="G2" s="18">
        <v>119110</v>
      </c>
      <c r="H2" t="s">
        <v>205</v>
      </c>
      <c r="I2" s="9">
        <f ca="1">(TODAY()-all_staff[[#This Row],[Date Joined]])/365</f>
        <v>5.9287671232876713</v>
      </c>
      <c r="J2" s="18">
        <f ca="1">ROUNDUP(IF(all_staff[[#This Row],[Tenure]]&gt;2,3%,2%)*all_staff[[#This Row],[Salary]],0)</f>
        <v>3574</v>
      </c>
    </row>
    <row r="3" spans="1:10" x14ac:dyDescent="0.35">
      <c r="A3" t="s">
        <v>60</v>
      </c>
      <c r="B3" t="s">
        <v>8</v>
      </c>
      <c r="C3">
        <v>27</v>
      </c>
      <c r="D3" t="s">
        <v>16</v>
      </c>
      <c r="E3" s="6">
        <v>44122</v>
      </c>
      <c r="F3" t="s">
        <v>56</v>
      </c>
      <c r="G3" s="18">
        <v>119110</v>
      </c>
      <c r="H3" t="s">
        <v>207</v>
      </c>
      <c r="I3" s="9">
        <f ca="1">(TODAY()-all_staff[[#This Row],[Date Joined]])/365</f>
        <v>5.7616438356164386</v>
      </c>
      <c r="J3" s="18">
        <f ca="1">ROUNDUP(IF(all_staff[[#This Row],[Tenure]]&gt;2,3%,2%)*all_staff[[#This Row],[Salary]],0)</f>
        <v>3574</v>
      </c>
    </row>
    <row r="4" spans="1:10" x14ac:dyDescent="0.35">
      <c r="A4" t="s">
        <v>199</v>
      </c>
      <c r="B4" t="s">
        <v>15</v>
      </c>
      <c r="C4">
        <v>36</v>
      </c>
      <c r="D4" t="s">
        <v>16</v>
      </c>
      <c r="E4" s="6">
        <v>43958</v>
      </c>
      <c r="F4" t="s">
        <v>12</v>
      </c>
      <c r="G4" s="18">
        <v>118840</v>
      </c>
      <c r="H4" t="s">
        <v>205</v>
      </c>
      <c r="I4" s="9">
        <f ca="1">(TODAY()-all_staff[[#This Row],[Date Joined]])/365</f>
        <v>6.2109589041095887</v>
      </c>
      <c r="J4" s="18">
        <f ca="1">ROUNDUP(IF(all_staff[[#This Row],[Tenure]]&gt;2,3%,2%)*all_staff[[#This Row],[Salary]],0)</f>
        <v>3566</v>
      </c>
    </row>
    <row r="5" spans="1:10" x14ac:dyDescent="0.35">
      <c r="A5" t="s">
        <v>106</v>
      </c>
      <c r="B5" t="s">
        <v>15</v>
      </c>
      <c r="C5">
        <v>36</v>
      </c>
      <c r="D5" t="s">
        <v>16</v>
      </c>
      <c r="E5" s="6">
        <v>44019</v>
      </c>
      <c r="F5" t="s">
        <v>12</v>
      </c>
      <c r="G5" s="18">
        <v>118840</v>
      </c>
      <c r="H5" t="s">
        <v>207</v>
      </c>
      <c r="I5" s="9">
        <f ca="1">(TODAY()-all_staff[[#This Row],[Date Joined]])/365</f>
        <v>6.043835616438356</v>
      </c>
      <c r="J5" s="18">
        <f ca="1">ROUNDUP(IF(all_staff[[#This Row],[Tenure]]&gt;2,3%,2%)*all_staff[[#This Row],[Salary]],0)</f>
        <v>3566</v>
      </c>
    </row>
    <row r="6" spans="1:10" x14ac:dyDescent="0.35">
      <c r="A6" t="s">
        <v>148</v>
      </c>
      <c r="B6" t="s">
        <v>8</v>
      </c>
      <c r="C6">
        <v>37</v>
      </c>
      <c r="D6" t="s">
        <v>16</v>
      </c>
      <c r="E6" s="6">
        <v>44389</v>
      </c>
      <c r="F6" t="s">
        <v>56</v>
      </c>
      <c r="G6" s="18">
        <v>118100</v>
      </c>
      <c r="H6" t="s">
        <v>205</v>
      </c>
      <c r="I6" s="9">
        <f ca="1">(TODAY()-all_staff[[#This Row],[Date Joined]])/365</f>
        <v>5.0301369863013701</v>
      </c>
      <c r="J6" s="18">
        <f ca="1">ROUNDUP(IF(all_staff[[#This Row],[Tenure]]&gt;2,3%,2%)*all_staff[[#This Row],[Salary]],0)</f>
        <v>3543</v>
      </c>
    </row>
    <row r="7" spans="1:10" x14ac:dyDescent="0.35">
      <c r="A7" t="s">
        <v>55</v>
      </c>
      <c r="B7" t="s">
        <v>8</v>
      </c>
      <c r="C7">
        <v>37</v>
      </c>
      <c r="D7" t="s">
        <v>16</v>
      </c>
      <c r="E7" s="6">
        <v>44451</v>
      </c>
      <c r="F7" t="s">
        <v>56</v>
      </c>
      <c r="G7" s="18">
        <v>118100</v>
      </c>
      <c r="H7" t="s">
        <v>207</v>
      </c>
      <c r="I7" s="9">
        <f ca="1">(TODAY()-all_staff[[#This Row],[Date Joined]])/365</f>
        <v>4.86027397260274</v>
      </c>
      <c r="J7" s="18">
        <f ca="1">ROUNDUP(IF(all_staff[[#This Row],[Tenure]]&gt;2,3%,2%)*all_staff[[#This Row],[Salary]],0)</f>
        <v>3543</v>
      </c>
    </row>
    <row r="8" spans="1:10" x14ac:dyDescent="0.35">
      <c r="A8" t="s">
        <v>134</v>
      </c>
      <c r="B8" t="s">
        <v>15</v>
      </c>
      <c r="C8">
        <v>33</v>
      </c>
      <c r="D8" t="s">
        <v>16</v>
      </c>
      <c r="E8" s="6">
        <v>44103</v>
      </c>
      <c r="F8" t="s">
        <v>9</v>
      </c>
      <c r="G8" s="18">
        <v>115920</v>
      </c>
      <c r="H8" t="s">
        <v>205</v>
      </c>
      <c r="I8" s="9">
        <f ca="1">(TODAY()-all_staff[[#This Row],[Date Joined]])/365</f>
        <v>5.8136986301369866</v>
      </c>
      <c r="J8" s="18">
        <f ca="1">ROUNDUP(IF(all_staff[[#This Row],[Tenure]]&gt;2,3%,2%)*all_staff[[#This Row],[Salary]],0)</f>
        <v>3478</v>
      </c>
    </row>
    <row r="9" spans="1:10" x14ac:dyDescent="0.35">
      <c r="A9" t="s">
        <v>40</v>
      </c>
      <c r="B9" t="s">
        <v>15</v>
      </c>
      <c r="C9">
        <v>33</v>
      </c>
      <c r="D9" t="s">
        <v>16</v>
      </c>
      <c r="E9" s="6">
        <v>44164</v>
      </c>
      <c r="F9" t="s">
        <v>9</v>
      </c>
      <c r="G9" s="18">
        <v>115920</v>
      </c>
      <c r="H9" t="s">
        <v>207</v>
      </c>
      <c r="I9" s="9">
        <f ca="1">(TODAY()-all_staff[[#This Row],[Date Joined]])/365</f>
        <v>5.646575342465753</v>
      </c>
      <c r="J9" s="18">
        <f ca="1">ROUNDUP(IF(all_staff[[#This Row],[Tenure]]&gt;2,3%,2%)*all_staff[[#This Row],[Salary]],0)</f>
        <v>3478</v>
      </c>
    </row>
    <row r="10" spans="1:10" x14ac:dyDescent="0.35">
      <c r="A10" t="s">
        <v>142</v>
      </c>
      <c r="B10" t="s">
        <v>206</v>
      </c>
      <c r="C10">
        <v>37</v>
      </c>
      <c r="D10" t="s">
        <v>24</v>
      </c>
      <c r="E10" s="6">
        <v>44085</v>
      </c>
      <c r="F10" t="s">
        <v>21</v>
      </c>
      <c r="G10" s="18">
        <v>115440</v>
      </c>
      <c r="H10" t="s">
        <v>205</v>
      </c>
      <c r="I10" s="9">
        <f ca="1">(TODAY()-all_staff[[#This Row],[Date Joined]])/365</f>
        <v>5.8630136986301373</v>
      </c>
      <c r="J10" s="18">
        <f ca="1">ROUNDUP(IF(all_staff[[#This Row],[Tenure]]&gt;2,3%,2%)*all_staff[[#This Row],[Salary]],0)</f>
        <v>3464</v>
      </c>
    </row>
    <row r="11" spans="1:10" x14ac:dyDescent="0.35">
      <c r="A11" t="s">
        <v>49</v>
      </c>
      <c r="B11" t="s">
        <v>206</v>
      </c>
      <c r="C11">
        <v>37</v>
      </c>
      <c r="D11" t="s">
        <v>24</v>
      </c>
      <c r="E11" s="6">
        <v>44146</v>
      </c>
      <c r="F11" t="s">
        <v>21</v>
      </c>
      <c r="G11" s="18">
        <v>115440</v>
      </c>
      <c r="H11" t="s">
        <v>207</v>
      </c>
      <c r="I11" s="9">
        <f ca="1">(TODAY()-all_staff[[#This Row],[Date Joined]])/365</f>
        <v>5.6958904109589037</v>
      </c>
      <c r="J11" s="18">
        <f ca="1">ROUNDUP(IF(all_staff[[#This Row],[Tenure]]&gt;2,3%,2%)*all_staff[[#This Row],[Salary]],0)</f>
        <v>3464</v>
      </c>
    </row>
    <row r="12" spans="1:10" x14ac:dyDescent="0.35">
      <c r="A12" t="s">
        <v>175</v>
      </c>
      <c r="B12" t="s">
        <v>8</v>
      </c>
      <c r="C12">
        <v>36</v>
      </c>
      <c r="D12" t="s">
        <v>16</v>
      </c>
      <c r="E12" s="6">
        <v>44023</v>
      </c>
      <c r="F12" t="s">
        <v>9</v>
      </c>
      <c r="G12" s="18">
        <v>114890</v>
      </c>
      <c r="H12" t="s">
        <v>205</v>
      </c>
      <c r="I12" s="9">
        <f ca="1">(TODAY()-all_staff[[#This Row],[Date Joined]])/365</f>
        <v>6.0328767123287674</v>
      </c>
      <c r="J12" s="18">
        <f ca="1">ROUNDUP(IF(all_staff[[#This Row],[Tenure]]&gt;2,3%,2%)*all_staff[[#This Row],[Salary]],0)</f>
        <v>3447</v>
      </c>
    </row>
    <row r="13" spans="1:10" x14ac:dyDescent="0.35">
      <c r="A13" t="s">
        <v>83</v>
      </c>
      <c r="B13" t="s">
        <v>8</v>
      </c>
      <c r="C13">
        <v>36</v>
      </c>
      <c r="D13" t="s">
        <v>16</v>
      </c>
      <c r="E13" s="6">
        <v>44085</v>
      </c>
      <c r="F13" t="s">
        <v>9</v>
      </c>
      <c r="G13" s="18">
        <v>114890</v>
      </c>
      <c r="H13" t="s">
        <v>207</v>
      </c>
      <c r="I13" s="9">
        <f ca="1">(TODAY()-all_staff[[#This Row],[Date Joined]])/365</f>
        <v>5.8630136986301373</v>
      </c>
      <c r="J13" s="18">
        <f ca="1">ROUNDUP(IF(all_staff[[#This Row],[Tenure]]&gt;2,3%,2%)*all_staff[[#This Row],[Salary]],0)</f>
        <v>3447</v>
      </c>
    </row>
    <row r="14" spans="1:10" x14ac:dyDescent="0.35">
      <c r="A14" t="s">
        <v>114</v>
      </c>
      <c r="B14" t="s">
        <v>8</v>
      </c>
      <c r="C14">
        <v>44</v>
      </c>
      <c r="D14" t="s">
        <v>16</v>
      </c>
      <c r="E14" s="6">
        <v>44985</v>
      </c>
      <c r="F14" t="s">
        <v>12</v>
      </c>
      <c r="G14" s="18">
        <v>114870</v>
      </c>
      <c r="H14" t="s">
        <v>205</v>
      </c>
      <c r="I14" s="9">
        <f ca="1">(TODAY()-all_staff[[#This Row],[Date Joined]])/365</f>
        <v>3.3972602739726026</v>
      </c>
      <c r="J14" s="18">
        <f ca="1">ROUNDUP(IF(all_staff[[#This Row],[Tenure]]&gt;2,3%,2%)*all_staff[[#This Row],[Salary]],0)</f>
        <v>3447</v>
      </c>
    </row>
    <row r="15" spans="1:10" x14ac:dyDescent="0.35">
      <c r="A15" t="s">
        <v>17</v>
      </c>
      <c r="B15" t="s">
        <v>8</v>
      </c>
      <c r="C15">
        <v>43</v>
      </c>
      <c r="D15" t="s">
        <v>16</v>
      </c>
      <c r="E15" s="6">
        <v>45045</v>
      </c>
      <c r="F15" t="s">
        <v>12</v>
      </c>
      <c r="G15" s="18">
        <v>114870</v>
      </c>
      <c r="H15" t="s">
        <v>207</v>
      </c>
      <c r="I15" s="9">
        <f ca="1">(TODAY()-all_staff[[#This Row],[Date Joined]])/365</f>
        <v>3.2328767123287672</v>
      </c>
      <c r="J15" s="18">
        <f ca="1">ROUNDUP(IF(all_staff[[#This Row],[Tenure]]&gt;2,3%,2%)*all_staff[[#This Row],[Salary]],0)</f>
        <v>3447</v>
      </c>
    </row>
    <row r="16" spans="1:10" x14ac:dyDescent="0.35">
      <c r="A16" t="s">
        <v>147</v>
      </c>
      <c r="B16" t="s">
        <v>8</v>
      </c>
      <c r="C16">
        <v>30</v>
      </c>
      <c r="D16" t="s">
        <v>16</v>
      </c>
      <c r="E16" s="6">
        <v>44789</v>
      </c>
      <c r="F16" t="s">
        <v>9</v>
      </c>
      <c r="G16" s="18">
        <v>114180</v>
      </c>
      <c r="H16" t="s">
        <v>205</v>
      </c>
      <c r="I16" s="9">
        <f ca="1">(TODAY()-all_staff[[#This Row],[Date Joined]])/365</f>
        <v>3.9342465753424656</v>
      </c>
      <c r="J16" s="18">
        <f ca="1">ROUNDUP(IF(all_staff[[#This Row],[Tenure]]&gt;2,3%,2%)*all_staff[[#This Row],[Salary]],0)</f>
        <v>3426</v>
      </c>
    </row>
    <row r="17" spans="1:10" x14ac:dyDescent="0.35">
      <c r="A17" t="s">
        <v>54</v>
      </c>
      <c r="B17" t="s">
        <v>8</v>
      </c>
      <c r="C17">
        <v>30</v>
      </c>
      <c r="D17" t="s">
        <v>16</v>
      </c>
      <c r="E17" s="6">
        <v>44850</v>
      </c>
      <c r="F17" t="s">
        <v>9</v>
      </c>
      <c r="G17" s="18">
        <v>114180</v>
      </c>
      <c r="H17" t="s">
        <v>207</v>
      </c>
      <c r="I17" s="9">
        <f ca="1">(TODAY()-all_staff[[#This Row],[Date Joined]])/365</f>
        <v>3.7671232876712328</v>
      </c>
      <c r="J17" s="18">
        <f ca="1">ROUNDUP(IF(all_staff[[#This Row],[Tenure]]&gt;2,3%,2%)*all_staff[[#This Row],[Salary]],0)</f>
        <v>3426</v>
      </c>
    </row>
    <row r="18" spans="1:10" x14ac:dyDescent="0.35">
      <c r="A18" t="s">
        <v>191</v>
      </c>
      <c r="B18" t="s">
        <v>15</v>
      </c>
      <c r="C18">
        <v>27</v>
      </c>
      <c r="D18" t="s">
        <v>42</v>
      </c>
      <c r="E18" s="6">
        <v>44547</v>
      </c>
      <c r="F18" t="s">
        <v>9</v>
      </c>
      <c r="G18" s="18">
        <v>113280</v>
      </c>
      <c r="H18" t="s">
        <v>205</v>
      </c>
      <c r="I18" s="9">
        <f ca="1">(TODAY()-all_staff[[#This Row],[Date Joined]])/365</f>
        <v>4.5972602739726032</v>
      </c>
      <c r="J18" s="18">
        <f ca="1">ROUNDUP(IF(all_staff[[#This Row],[Tenure]]&gt;2,3%,2%)*all_staff[[#This Row],[Salary]],0)</f>
        <v>3399</v>
      </c>
    </row>
    <row r="19" spans="1:10" x14ac:dyDescent="0.35">
      <c r="A19" t="s">
        <v>98</v>
      </c>
      <c r="B19" t="s">
        <v>15</v>
      </c>
      <c r="C19">
        <v>27</v>
      </c>
      <c r="D19" t="s">
        <v>42</v>
      </c>
      <c r="E19" s="6">
        <v>44609</v>
      </c>
      <c r="F19" t="s">
        <v>9</v>
      </c>
      <c r="G19" s="18">
        <v>113280</v>
      </c>
      <c r="H19" t="s">
        <v>207</v>
      </c>
      <c r="I19" s="9">
        <f ca="1">(TODAY()-all_staff[[#This Row],[Date Joined]])/365</f>
        <v>4.4273972602739722</v>
      </c>
      <c r="J19" s="18">
        <f ca="1">ROUNDUP(IF(all_staff[[#This Row],[Tenure]]&gt;2,3%,2%)*all_staff[[#This Row],[Salary]],0)</f>
        <v>3399</v>
      </c>
    </row>
    <row r="20" spans="1:10" x14ac:dyDescent="0.35">
      <c r="A20" t="s">
        <v>150</v>
      </c>
      <c r="B20" t="s">
        <v>15</v>
      </c>
      <c r="C20">
        <v>22</v>
      </c>
      <c r="D20" t="s">
        <v>13</v>
      </c>
      <c r="E20" s="6">
        <v>44384</v>
      </c>
      <c r="F20" t="s">
        <v>19</v>
      </c>
      <c r="G20" s="18">
        <v>112780</v>
      </c>
      <c r="H20" t="s">
        <v>205</v>
      </c>
      <c r="I20" s="9">
        <f ca="1">(TODAY()-all_staff[[#This Row],[Date Joined]])/365</f>
        <v>5.043835616438356</v>
      </c>
      <c r="J20" s="18">
        <f ca="1">ROUNDUP(IF(all_staff[[#This Row],[Tenure]]&gt;2,3%,2%)*all_staff[[#This Row],[Salary]],0)</f>
        <v>3384</v>
      </c>
    </row>
    <row r="21" spans="1:10" x14ac:dyDescent="0.35">
      <c r="A21" t="s">
        <v>58</v>
      </c>
      <c r="B21" t="s">
        <v>15</v>
      </c>
      <c r="C21">
        <v>22</v>
      </c>
      <c r="D21" t="s">
        <v>13</v>
      </c>
      <c r="E21" s="6">
        <v>44446</v>
      </c>
      <c r="F21" t="s">
        <v>19</v>
      </c>
      <c r="G21" s="18">
        <v>112780</v>
      </c>
      <c r="H21" t="s">
        <v>207</v>
      </c>
      <c r="I21" s="9">
        <f ca="1">(TODAY()-all_staff[[#This Row],[Date Joined]])/365</f>
        <v>4.8739726027397259</v>
      </c>
      <c r="J21" s="18">
        <f ca="1">ROUNDUP(IF(all_staff[[#This Row],[Tenure]]&gt;2,3%,2%)*all_staff[[#This Row],[Salary]],0)</f>
        <v>3384</v>
      </c>
    </row>
    <row r="22" spans="1:10" x14ac:dyDescent="0.35">
      <c r="A22" t="s">
        <v>156</v>
      </c>
      <c r="B22" t="s">
        <v>15</v>
      </c>
      <c r="C22">
        <v>20</v>
      </c>
      <c r="D22" t="s">
        <v>16</v>
      </c>
      <c r="E22" s="6">
        <v>44122</v>
      </c>
      <c r="F22" t="s">
        <v>12</v>
      </c>
      <c r="G22" s="18">
        <v>112650</v>
      </c>
      <c r="H22" t="s">
        <v>205</v>
      </c>
      <c r="I22" s="9">
        <f ca="1">(TODAY()-all_staff[[#This Row],[Date Joined]])/365</f>
        <v>5.7616438356164386</v>
      </c>
      <c r="J22" s="18">
        <f ca="1">ROUNDUP(IF(all_staff[[#This Row],[Tenure]]&gt;2,3%,2%)*all_staff[[#This Row],[Salary]],0)</f>
        <v>3380</v>
      </c>
    </row>
    <row r="23" spans="1:10" x14ac:dyDescent="0.35">
      <c r="A23" t="s">
        <v>178</v>
      </c>
      <c r="B23" t="s">
        <v>15</v>
      </c>
      <c r="C23">
        <v>34</v>
      </c>
      <c r="D23" t="s">
        <v>16</v>
      </c>
      <c r="E23" s="6">
        <v>44642</v>
      </c>
      <c r="F23" t="s">
        <v>9</v>
      </c>
      <c r="G23" s="18">
        <v>112650</v>
      </c>
      <c r="H23" t="s">
        <v>205</v>
      </c>
      <c r="I23" s="9">
        <f ca="1">(TODAY()-all_staff[[#This Row],[Date Joined]])/365</f>
        <v>4.3369863013698629</v>
      </c>
      <c r="J23" s="18">
        <f ca="1">ROUNDUP(IF(all_staff[[#This Row],[Tenure]]&gt;2,3%,2%)*all_staff[[#This Row],[Salary]],0)</f>
        <v>3380</v>
      </c>
    </row>
    <row r="24" spans="1:10" x14ac:dyDescent="0.35">
      <c r="A24" t="s">
        <v>64</v>
      </c>
      <c r="B24" t="s">
        <v>15</v>
      </c>
      <c r="C24">
        <v>20</v>
      </c>
      <c r="D24" t="s">
        <v>16</v>
      </c>
      <c r="E24" s="6">
        <v>44183</v>
      </c>
      <c r="F24" t="s">
        <v>12</v>
      </c>
      <c r="G24" s="18">
        <v>112650</v>
      </c>
      <c r="H24" t="s">
        <v>207</v>
      </c>
      <c r="I24" s="9">
        <f ca="1">(TODAY()-all_staff[[#This Row],[Date Joined]])/365</f>
        <v>5.5945205479452058</v>
      </c>
      <c r="J24" s="18">
        <f ca="1">ROUNDUP(IF(all_staff[[#This Row],[Tenure]]&gt;2,3%,2%)*all_staff[[#This Row],[Salary]],0)</f>
        <v>3380</v>
      </c>
    </row>
    <row r="25" spans="1:10" x14ac:dyDescent="0.35">
      <c r="A25" t="s">
        <v>173</v>
      </c>
      <c r="B25" t="s">
        <v>8</v>
      </c>
      <c r="C25">
        <v>30</v>
      </c>
      <c r="D25" t="s">
        <v>16</v>
      </c>
      <c r="E25" s="6">
        <v>44800</v>
      </c>
      <c r="F25" t="s">
        <v>9</v>
      </c>
      <c r="G25" s="18">
        <v>112570</v>
      </c>
      <c r="H25" t="s">
        <v>205</v>
      </c>
      <c r="I25" s="9">
        <f ca="1">(TODAY()-all_staff[[#This Row],[Date Joined]])/365</f>
        <v>3.904109589041096</v>
      </c>
      <c r="J25" s="18">
        <f ca="1">ROUNDUP(IF(all_staff[[#This Row],[Tenure]]&gt;2,3%,2%)*all_staff[[#This Row],[Salary]],0)</f>
        <v>3378</v>
      </c>
    </row>
    <row r="26" spans="1:10" x14ac:dyDescent="0.35">
      <c r="A26" t="s">
        <v>81</v>
      </c>
      <c r="B26" t="s">
        <v>8</v>
      </c>
      <c r="C26">
        <v>30</v>
      </c>
      <c r="D26" t="s">
        <v>16</v>
      </c>
      <c r="E26" s="6">
        <v>44861</v>
      </c>
      <c r="F26" t="s">
        <v>9</v>
      </c>
      <c r="G26" s="18">
        <v>112570</v>
      </c>
      <c r="H26" t="s">
        <v>207</v>
      </c>
      <c r="I26" s="9">
        <f ca="1">(TODAY()-all_staff[[#This Row],[Date Joined]])/365</f>
        <v>3.7369863013698632</v>
      </c>
      <c r="J26" s="18">
        <f ca="1">ROUNDUP(IF(all_staff[[#This Row],[Tenure]]&gt;2,3%,2%)*all_staff[[#This Row],[Salary]],0)</f>
        <v>3378</v>
      </c>
    </row>
    <row r="27" spans="1:10" x14ac:dyDescent="0.35">
      <c r="A27" t="s">
        <v>180</v>
      </c>
      <c r="B27" t="s">
        <v>15</v>
      </c>
      <c r="C27">
        <v>29</v>
      </c>
      <c r="D27" t="s">
        <v>24</v>
      </c>
      <c r="E27" s="6">
        <v>44119</v>
      </c>
      <c r="F27" t="s">
        <v>12</v>
      </c>
      <c r="G27" s="18">
        <v>112110</v>
      </c>
      <c r="H27" t="s">
        <v>205</v>
      </c>
      <c r="I27" s="9">
        <f ca="1">(TODAY()-all_staff[[#This Row],[Date Joined]])/365</f>
        <v>5.7698630136986298</v>
      </c>
      <c r="J27" s="18">
        <f ca="1">ROUNDUP(IF(all_staff[[#This Row],[Tenure]]&gt;2,3%,2%)*all_staff[[#This Row],[Salary]],0)</f>
        <v>3364</v>
      </c>
    </row>
    <row r="28" spans="1:10" x14ac:dyDescent="0.35">
      <c r="A28" t="s">
        <v>87</v>
      </c>
      <c r="B28" t="s">
        <v>15</v>
      </c>
      <c r="C28">
        <v>29</v>
      </c>
      <c r="D28" t="s">
        <v>24</v>
      </c>
      <c r="E28" s="6">
        <v>44180</v>
      </c>
      <c r="F28" t="s">
        <v>12</v>
      </c>
      <c r="G28" s="18">
        <v>112110</v>
      </c>
      <c r="H28" t="s">
        <v>207</v>
      </c>
      <c r="I28" s="9">
        <f ca="1">(TODAY()-all_staff[[#This Row],[Date Joined]])/365</f>
        <v>5.602739726027397</v>
      </c>
      <c r="J28" s="18">
        <f ca="1">ROUNDUP(IF(all_staff[[#This Row],[Tenure]]&gt;2,3%,2%)*all_staff[[#This Row],[Salary]],0)</f>
        <v>3364</v>
      </c>
    </row>
    <row r="29" spans="1:10" x14ac:dyDescent="0.35">
      <c r="A29" t="s">
        <v>128</v>
      </c>
      <c r="B29" t="s">
        <v>15</v>
      </c>
      <c r="C29">
        <v>25</v>
      </c>
      <c r="D29" t="s">
        <v>13</v>
      </c>
      <c r="E29" s="6">
        <v>44665</v>
      </c>
      <c r="F29" t="s">
        <v>9</v>
      </c>
      <c r="G29" s="18">
        <v>109190</v>
      </c>
      <c r="H29" t="s">
        <v>205</v>
      </c>
      <c r="I29" s="9">
        <f ca="1">(TODAY()-all_staff[[#This Row],[Date Joined]])/365</f>
        <v>4.2739726027397262</v>
      </c>
      <c r="J29" s="18">
        <f ca="1">ROUNDUP(IF(all_staff[[#This Row],[Tenure]]&gt;2,3%,2%)*all_staff[[#This Row],[Salary]],0)</f>
        <v>3276</v>
      </c>
    </row>
    <row r="30" spans="1:10" x14ac:dyDescent="0.35">
      <c r="A30" t="s">
        <v>34</v>
      </c>
      <c r="B30" t="s">
        <v>15</v>
      </c>
      <c r="C30">
        <v>25</v>
      </c>
      <c r="D30" t="s">
        <v>13</v>
      </c>
      <c r="E30" s="6">
        <v>44726</v>
      </c>
      <c r="F30" t="s">
        <v>9</v>
      </c>
      <c r="G30" s="18">
        <v>109190</v>
      </c>
      <c r="H30" t="s">
        <v>207</v>
      </c>
      <c r="I30" s="9">
        <f ca="1">(TODAY()-all_staff[[#This Row],[Date Joined]])/365</f>
        <v>4.1068493150684935</v>
      </c>
      <c r="J30" s="18">
        <f ca="1">ROUNDUP(IF(all_staff[[#This Row],[Tenure]]&gt;2,3%,2%)*all_staff[[#This Row],[Salary]],0)</f>
        <v>3276</v>
      </c>
    </row>
    <row r="31" spans="1:10" x14ac:dyDescent="0.35">
      <c r="A31" t="s">
        <v>127</v>
      </c>
      <c r="B31" t="s">
        <v>8</v>
      </c>
      <c r="C31">
        <v>38</v>
      </c>
      <c r="D31" t="s">
        <v>10</v>
      </c>
      <c r="E31" s="6">
        <v>44316</v>
      </c>
      <c r="F31" t="s">
        <v>19</v>
      </c>
      <c r="G31" s="18">
        <v>109160</v>
      </c>
      <c r="H31" t="s">
        <v>205</v>
      </c>
      <c r="I31" s="9">
        <f ca="1">(TODAY()-all_staff[[#This Row],[Date Joined]])/365</f>
        <v>5.2301369863013702</v>
      </c>
      <c r="J31" s="18">
        <f ca="1">ROUNDUP(IF(all_staff[[#This Row],[Tenure]]&gt;2,3%,2%)*all_staff[[#This Row],[Salary]],0)</f>
        <v>3275</v>
      </c>
    </row>
    <row r="32" spans="1:10" x14ac:dyDescent="0.35">
      <c r="A32" t="s">
        <v>33</v>
      </c>
      <c r="B32" t="s">
        <v>8</v>
      </c>
      <c r="C32">
        <v>38</v>
      </c>
      <c r="D32" t="s">
        <v>10</v>
      </c>
      <c r="E32" s="6">
        <v>44377</v>
      </c>
      <c r="F32" t="s">
        <v>19</v>
      </c>
      <c r="G32" s="18">
        <v>109160</v>
      </c>
      <c r="H32" t="s">
        <v>207</v>
      </c>
      <c r="I32" s="9">
        <f ca="1">(TODAY()-all_staff[[#This Row],[Date Joined]])/365</f>
        <v>5.0630136986301366</v>
      </c>
      <c r="J32" s="18">
        <f ca="1">ROUNDUP(IF(all_staff[[#This Row],[Tenure]]&gt;2,3%,2%)*all_staff[[#This Row],[Salary]],0)</f>
        <v>3275</v>
      </c>
    </row>
    <row r="33" spans="1:10" x14ac:dyDescent="0.35">
      <c r="A33" t="s">
        <v>117</v>
      </c>
      <c r="B33" t="s">
        <v>15</v>
      </c>
      <c r="C33">
        <v>20</v>
      </c>
      <c r="D33" t="s">
        <v>16</v>
      </c>
      <c r="E33" s="6">
        <v>44397</v>
      </c>
      <c r="F33" t="s">
        <v>12</v>
      </c>
      <c r="G33" s="18">
        <v>107700</v>
      </c>
      <c r="H33" t="s">
        <v>205</v>
      </c>
      <c r="I33" s="9">
        <f ca="1">(TODAY()-all_staff[[#This Row],[Date Joined]])/365</f>
        <v>5.0082191780821921</v>
      </c>
      <c r="J33" s="18">
        <f ca="1">ROUNDUP(IF(all_staff[[#This Row],[Tenure]]&gt;2,3%,2%)*all_staff[[#This Row],[Salary]],0)</f>
        <v>3231</v>
      </c>
    </row>
    <row r="34" spans="1:10" x14ac:dyDescent="0.35">
      <c r="A34" t="s">
        <v>22</v>
      </c>
      <c r="B34" t="s">
        <v>15</v>
      </c>
      <c r="C34">
        <v>20</v>
      </c>
      <c r="D34" t="s">
        <v>16</v>
      </c>
      <c r="E34" s="6">
        <v>44459</v>
      </c>
      <c r="F34" t="s">
        <v>12</v>
      </c>
      <c r="G34" s="18">
        <v>107700</v>
      </c>
      <c r="H34" t="s">
        <v>207</v>
      </c>
      <c r="I34" s="9">
        <f ca="1">(TODAY()-all_staff[[#This Row],[Date Joined]])/365</f>
        <v>4.838356164383562</v>
      </c>
      <c r="J34" s="18">
        <f ca="1">ROUNDUP(IF(all_staff[[#This Row],[Tenure]]&gt;2,3%,2%)*all_staff[[#This Row],[Salary]],0)</f>
        <v>3231</v>
      </c>
    </row>
    <row r="35" spans="1:10" x14ac:dyDescent="0.35">
      <c r="A35" t="s">
        <v>161</v>
      </c>
      <c r="B35" t="s">
        <v>15</v>
      </c>
      <c r="C35">
        <v>23</v>
      </c>
      <c r="D35" t="s">
        <v>16</v>
      </c>
      <c r="E35" s="6">
        <v>44378</v>
      </c>
      <c r="F35" t="s">
        <v>9</v>
      </c>
      <c r="G35" s="18">
        <v>106460</v>
      </c>
      <c r="H35" t="s">
        <v>205</v>
      </c>
      <c r="I35" s="9">
        <f ca="1">(TODAY()-all_staff[[#This Row],[Date Joined]])/365</f>
        <v>5.0602739726027401</v>
      </c>
      <c r="J35" s="18">
        <f ca="1">ROUNDUP(IF(all_staff[[#This Row],[Tenure]]&gt;2,3%,2%)*all_staff[[#This Row],[Salary]],0)</f>
        <v>3194</v>
      </c>
    </row>
    <row r="36" spans="1:10" x14ac:dyDescent="0.35">
      <c r="A36" t="s">
        <v>69</v>
      </c>
      <c r="B36" t="s">
        <v>15</v>
      </c>
      <c r="C36">
        <v>23</v>
      </c>
      <c r="D36" t="s">
        <v>16</v>
      </c>
      <c r="E36" s="6">
        <v>44440</v>
      </c>
      <c r="F36" t="s">
        <v>9</v>
      </c>
      <c r="G36" s="18">
        <v>106460</v>
      </c>
      <c r="H36" t="s">
        <v>207</v>
      </c>
      <c r="I36" s="9">
        <f ca="1">(TODAY()-all_staff[[#This Row],[Date Joined]])/365</f>
        <v>4.8904109589041092</v>
      </c>
      <c r="J36" s="18">
        <f ca="1">ROUNDUP(IF(all_staff[[#This Row],[Tenure]]&gt;2,3%,2%)*all_staff[[#This Row],[Salary]],0)</f>
        <v>3194</v>
      </c>
    </row>
    <row r="37" spans="1:10" x14ac:dyDescent="0.35">
      <c r="A37" t="s">
        <v>136</v>
      </c>
      <c r="B37" t="s">
        <v>8</v>
      </c>
      <c r="C37">
        <v>28</v>
      </c>
      <c r="D37" t="s">
        <v>16</v>
      </c>
      <c r="E37" s="6">
        <v>44425</v>
      </c>
      <c r="F37" t="s">
        <v>9</v>
      </c>
      <c r="G37" s="18">
        <v>104770</v>
      </c>
      <c r="H37" t="s">
        <v>205</v>
      </c>
      <c r="I37" s="9">
        <f ca="1">(TODAY()-all_staff[[#This Row],[Date Joined]])/365</f>
        <v>4.9315068493150687</v>
      </c>
      <c r="J37" s="18">
        <f ca="1">ROUNDUP(IF(all_staff[[#This Row],[Tenure]]&gt;2,3%,2%)*all_staff[[#This Row],[Salary]],0)</f>
        <v>3144</v>
      </c>
    </row>
    <row r="38" spans="1:10" x14ac:dyDescent="0.35">
      <c r="A38" t="s">
        <v>43</v>
      </c>
      <c r="B38" t="s">
        <v>8</v>
      </c>
      <c r="C38">
        <v>28</v>
      </c>
      <c r="D38" t="s">
        <v>16</v>
      </c>
      <c r="E38" s="6">
        <v>44486</v>
      </c>
      <c r="F38" t="s">
        <v>9</v>
      </c>
      <c r="G38" s="18">
        <v>104770</v>
      </c>
      <c r="H38" t="s">
        <v>207</v>
      </c>
      <c r="I38" s="9">
        <f ca="1">(TODAY()-all_staff[[#This Row],[Date Joined]])/365</f>
        <v>4.7643835616438359</v>
      </c>
      <c r="J38" s="18">
        <f ca="1">ROUNDUP(IF(all_staff[[#This Row],[Tenure]]&gt;2,3%,2%)*all_staff[[#This Row],[Salary]],0)</f>
        <v>3144</v>
      </c>
    </row>
    <row r="39" spans="1:10" x14ac:dyDescent="0.35">
      <c r="A39" t="s">
        <v>194</v>
      </c>
      <c r="B39" t="s">
        <v>8</v>
      </c>
      <c r="C39">
        <v>40</v>
      </c>
      <c r="D39" t="s">
        <v>16</v>
      </c>
      <c r="E39" s="6">
        <v>44320</v>
      </c>
      <c r="F39" t="s">
        <v>12</v>
      </c>
      <c r="G39" s="18">
        <v>104410</v>
      </c>
      <c r="H39" t="s">
        <v>205</v>
      </c>
      <c r="I39" s="9">
        <f ca="1">(TODAY()-all_staff[[#This Row],[Date Joined]])/365</f>
        <v>5.2191780821917808</v>
      </c>
      <c r="J39" s="18">
        <f ca="1">ROUNDUP(IF(all_staff[[#This Row],[Tenure]]&gt;2,3%,2%)*all_staff[[#This Row],[Salary]],0)</f>
        <v>3133</v>
      </c>
    </row>
    <row r="40" spans="1:10" x14ac:dyDescent="0.35">
      <c r="A40" t="s">
        <v>101</v>
      </c>
      <c r="B40" t="s">
        <v>8</v>
      </c>
      <c r="C40">
        <v>40</v>
      </c>
      <c r="D40" t="s">
        <v>16</v>
      </c>
      <c r="E40" s="6">
        <v>44381</v>
      </c>
      <c r="F40" t="s">
        <v>12</v>
      </c>
      <c r="G40" s="18">
        <v>104410</v>
      </c>
      <c r="H40" t="s">
        <v>207</v>
      </c>
      <c r="I40" s="9">
        <f ca="1">(TODAY()-all_staff[[#This Row],[Date Joined]])/365</f>
        <v>5.0520547945205481</v>
      </c>
      <c r="J40" s="18">
        <f ca="1">ROUNDUP(IF(all_staff[[#This Row],[Tenure]]&gt;2,3%,2%)*all_staff[[#This Row],[Salary]],0)</f>
        <v>3133</v>
      </c>
    </row>
    <row r="41" spans="1:10" x14ac:dyDescent="0.35">
      <c r="A41" t="s">
        <v>189</v>
      </c>
      <c r="B41" t="s">
        <v>8</v>
      </c>
      <c r="C41">
        <v>28</v>
      </c>
      <c r="D41" t="s">
        <v>16</v>
      </c>
      <c r="E41" s="6">
        <v>44590</v>
      </c>
      <c r="F41" t="s">
        <v>9</v>
      </c>
      <c r="G41" s="18">
        <v>104120</v>
      </c>
      <c r="H41" t="s">
        <v>205</v>
      </c>
      <c r="I41" s="9">
        <f ca="1">(TODAY()-all_staff[[#This Row],[Date Joined]])/365</f>
        <v>4.4794520547945202</v>
      </c>
      <c r="J41" s="18">
        <f ca="1">ROUNDUP(IF(all_staff[[#This Row],[Tenure]]&gt;2,3%,2%)*all_staff[[#This Row],[Salary]],0)</f>
        <v>3124</v>
      </c>
    </row>
    <row r="42" spans="1:10" x14ac:dyDescent="0.35">
      <c r="A42" t="s">
        <v>96</v>
      </c>
      <c r="B42" t="s">
        <v>8</v>
      </c>
      <c r="C42">
        <v>28</v>
      </c>
      <c r="D42" t="s">
        <v>16</v>
      </c>
      <c r="E42" s="6">
        <v>44649</v>
      </c>
      <c r="F42" t="s">
        <v>9</v>
      </c>
      <c r="G42" s="18">
        <v>104120</v>
      </c>
      <c r="H42" t="s">
        <v>207</v>
      </c>
      <c r="I42" s="9">
        <f ca="1">(TODAY()-all_staff[[#This Row],[Date Joined]])/365</f>
        <v>4.3178082191780822</v>
      </c>
      <c r="J42" s="18">
        <f ca="1">ROUNDUP(IF(all_staff[[#This Row],[Tenure]]&gt;2,3%,2%)*all_staff[[#This Row],[Salary]],0)</f>
        <v>3124</v>
      </c>
    </row>
    <row r="43" spans="1:10" x14ac:dyDescent="0.35">
      <c r="A43" t="s">
        <v>143</v>
      </c>
      <c r="B43" t="s">
        <v>15</v>
      </c>
      <c r="C43">
        <v>31</v>
      </c>
      <c r="D43" t="s">
        <v>16</v>
      </c>
      <c r="E43" s="6">
        <v>44663</v>
      </c>
      <c r="F43" t="s">
        <v>9</v>
      </c>
      <c r="G43" s="18">
        <v>103550</v>
      </c>
      <c r="H43" t="s">
        <v>205</v>
      </c>
      <c r="I43" s="9">
        <f ca="1">(TODAY()-all_staff[[#This Row],[Date Joined]])/365</f>
        <v>4.279452054794521</v>
      </c>
      <c r="J43" s="18">
        <f ca="1">ROUNDUP(IF(all_staff[[#This Row],[Tenure]]&gt;2,3%,2%)*all_staff[[#This Row],[Salary]],0)</f>
        <v>3107</v>
      </c>
    </row>
    <row r="44" spans="1:10" x14ac:dyDescent="0.35">
      <c r="A44" t="s">
        <v>50</v>
      </c>
      <c r="B44" t="s">
        <v>15</v>
      </c>
      <c r="C44">
        <v>31</v>
      </c>
      <c r="D44" t="s">
        <v>16</v>
      </c>
      <c r="E44" s="6">
        <v>44724</v>
      </c>
      <c r="F44" t="s">
        <v>9</v>
      </c>
      <c r="G44" s="18">
        <v>103550</v>
      </c>
      <c r="H44" t="s">
        <v>207</v>
      </c>
      <c r="I44" s="9">
        <f ca="1">(TODAY()-all_staff[[#This Row],[Date Joined]])/365</f>
        <v>4.1123287671232873</v>
      </c>
      <c r="J44" s="18">
        <f ca="1">ROUNDUP(IF(all_staff[[#This Row],[Tenure]]&gt;2,3%,2%)*all_staff[[#This Row],[Salary]],0)</f>
        <v>3107</v>
      </c>
    </row>
    <row r="45" spans="1:10" x14ac:dyDescent="0.35">
      <c r="A45" t="s">
        <v>196</v>
      </c>
      <c r="B45" t="s">
        <v>15</v>
      </c>
      <c r="C45">
        <v>24</v>
      </c>
      <c r="D45" t="s">
        <v>16</v>
      </c>
      <c r="E45" s="6">
        <v>44625</v>
      </c>
      <c r="F45" t="s">
        <v>12</v>
      </c>
      <c r="G45" s="18">
        <v>100420</v>
      </c>
      <c r="H45" t="s">
        <v>205</v>
      </c>
      <c r="I45" s="9">
        <f ca="1">(TODAY()-all_staff[[#This Row],[Date Joined]])/365</f>
        <v>4.3835616438356162</v>
      </c>
      <c r="J45" s="18">
        <f ca="1">ROUNDUP(IF(all_staff[[#This Row],[Tenure]]&gt;2,3%,2%)*all_staff[[#This Row],[Salary]],0)</f>
        <v>3013</v>
      </c>
    </row>
    <row r="46" spans="1:10" x14ac:dyDescent="0.35">
      <c r="A46" t="s">
        <v>103</v>
      </c>
      <c r="B46" t="s">
        <v>15</v>
      </c>
      <c r="C46">
        <v>24</v>
      </c>
      <c r="D46" t="s">
        <v>16</v>
      </c>
      <c r="E46" s="6">
        <v>44686</v>
      </c>
      <c r="F46" t="s">
        <v>12</v>
      </c>
      <c r="G46" s="18">
        <v>100420</v>
      </c>
      <c r="H46" t="s">
        <v>207</v>
      </c>
      <c r="I46" s="9">
        <f ca="1">(TODAY()-all_staff[[#This Row],[Date Joined]])/365</f>
        <v>4.2164383561643834</v>
      </c>
      <c r="J46" s="18">
        <f ca="1">ROUNDUP(IF(all_staff[[#This Row],[Tenure]]&gt;2,3%,2%)*all_staff[[#This Row],[Salary]],0)</f>
        <v>3013</v>
      </c>
    </row>
    <row r="47" spans="1:10" x14ac:dyDescent="0.35">
      <c r="A47" t="s">
        <v>200</v>
      </c>
      <c r="B47" t="s">
        <v>8</v>
      </c>
      <c r="C47">
        <v>28</v>
      </c>
      <c r="D47" t="s">
        <v>16</v>
      </c>
      <c r="E47" s="6">
        <v>44571</v>
      </c>
      <c r="F47" t="s">
        <v>9</v>
      </c>
      <c r="G47" s="18">
        <v>99970</v>
      </c>
      <c r="H47" t="s">
        <v>205</v>
      </c>
      <c r="I47" s="9">
        <f ca="1">(TODAY()-all_staff[[#This Row],[Date Joined]])/365</f>
        <v>4.5315068493150683</v>
      </c>
      <c r="J47" s="18">
        <f ca="1">ROUNDUP(IF(all_staff[[#This Row],[Tenure]]&gt;2,3%,2%)*all_staff[[#This Row],[Salary]],0)</f>
        <v>3000</v>
      </c>
    </row>
    <row r="48" spans="1:10" x14ac:dyDescent="0.35">
      <c r="A48" t="s">
        <v>107</v>
      </c>
      <c r="B48" t="s">
        <v>8</v>
      </c>
      <c r="C48">
        <v>28</v>
      </c>
      <c r="D48" t="s">
        <v>16</v>
      </c>
      <c r="E48" s="6">
        <v>44630</v>
      </c>
      <c r="F48" t="s">
        <v>9</v>
      </c>
      <c r="G48" s="18">
        <v>99970</v>
      </c>
      <c r="H48" t="s">
        <v>207</v>
      </c>
      <c r="I48" s="9">
        <f ca="1">(TODAY()-all_staff[[#This Row],[Date Joined]])/365</f>
        <v>4.3698630136986303</v>
      </c>
      <c r="J48" s="18">
        <f ca="1">ROUNDUP(IF(all_staff[[#This Row],[Tenure]]&gt;2,3%,2%)*all_staff[[#This Row],[Salary]],0)</f>
        <v>3000</v>
      </c>
    </row>
    <row r="49" spans="1:10" x14ac:dyDescent="0.35">
      <c r="A49" t="s">
        <v>198</v>
      </c>
      <c r="B49" t="s">
        <v>15</v>
      </c>
      <c r="C49">
        <v>40</v>
      </c>
      <c r="D49" t="s">
        <v>16</v>
      </c>
      <c r="E49" s="6">
        <v>44204</v>
      </c>
      <c r="F49" t="s">
        <v>9</v>
      </c>
      <c r="G49" s="18">
        <v>99750</v>
      </c>
      <c r="H49" t="s">
        <v>205</v>
      </c>
      <c r="I49" s="9">
        <f ca="1">(TODAY()-all_staff[[#This Row],[Date Joined]])/365</f>
        <v>5.536986301369863</v>
      </c>
      <c r="J49" s="18">
        <f ca="1">ROUNDUP(IF(all_staff[[#This Row],[Tenure]]&gt;2,3%,2%)*all_staff[[#This Row],[Salary]],0)</f>
        <v>2993</v>
      </c>
    </row>
    <row r="50" spans="1:10" x14ac:dyDescent="0.35">
      <c r="A50" t="s">
        <v>105</v>
      </c>
      <c r="B50" t="s">
        <v>15</v>
      </c>
      <c r="C50">
        <v>40</v>
      </c>
      <c r="D50" t="s">
        <v>16</v>
      </c>
      <c r="E50" s="6">
        <v>44263</v>
      </c>
      <c r="F50" t="s">
        <v>9</v>
      </c>
      <c r="G50" s="18">
        <v>99750</v>
      </c>
      <c r="H50" t="s">
        <v>207</v>
      </c>
      <c r="I50" s="9">
        <f ca="1">(TODAY()-all_staff[[#This Row],[Date Joined]])/365</f>
        <v>5.375342465753425</v>
      </c>
      <c r="J50" s="18">
        <f ca="1">ROUNDUP(IF(all_staff[[#This Row],[Tenure]]&gt;2,3%,2%)*all_staff[[#This Row],[Salary]],0)</f>
        <v>2993</v>
      </c>
    </row>
    <row r="51" spans="1:10" x14ac:dyDescent="0.35">
      <c r="A51" t="s">
        <v>177</v>
      </c>
      <c r="B51" t="s">
        <v>15</v>
      </c>
      <c r="C51">
        <v>30</v>
      </c>
      <c r="D51" t="s">
        <v>16</v>
      </c>
      <c r="E51" s="6">
        <v>44544</v>
      </c>
      <c r="F51" t="s">
        <v>21</v>
      </c>
      <c r="G51" s="18">
        <v>96800</v>
      </c>
      <c r="H51" t="s">
        <v>205</v>
      </c>
      <c r="I51" s="9">
        <f ca="1">(TODAY()-all_staff[[#This Row],[Date Joined]])/365</f>
        <v>4.6054794520547944</v>
      </c>
      <c r="J51" s="18">
        <f ca="1">ROUNDUP(IF(all_staff[[#This Row],[Tenure]]&gt;2,3%,2%)*all_staff[[#This Row],[Salary]],0)</f>
        <v>2904</v>
      </c>
    </row>
    <row r="52" spans="1:10" x14ac:dyDescent="0.35">
      <c r="A52" t="s">
        <v>85</v>
      </c>
      <c r="B52" t="s">
        <v>15</v>
      </c>
      <c r="C52">
        <v>30</v>
      </c>
      <c r="D52" t="s">
        <v>16</v>
      </c>
      <c r="E52" s="6">
        <v>44606</v>
      </c>
      <c r="F52" t="s">
        <v>21</v>
      </c>
      <c r="G52" s="18">
        <v>96800</v>
      </c>
      <c r="H52" t="s">
        <v>207</v>
      </c>
      <c r="I52" s="9">
        <f ca="1">(TODAY()-all_staff[[#This Row],[Date Joined]])/365</f>
        <v>4.4356164383561643</v>
      </c>
      <c r="J52" s="18">
        <f ca="1">ROUNDUP(IF(all_staff[[#This Row],[Tenure]]&gt;2,3%,2%)*all_staff[[#This Row],[Salary]],0)</f>
        <v>2904</v>
      </c>
    </row>
    <row r="53" spans="1:10" x14ac:dyDescent="0.35">
      <c r="A53" t="s">
        <v>163</v>
      </c>
      <c r="B53" t="s">
        <v>8</v>
      </c>
      <c r="C53">
        <v>33</v>
      </c>
      <c r="D53" t="s">
        <v>16</v>
      </c>
      <c r="E53" s="6">
        <v>44129</v>
      </c>
      <c r="F53" t="s">
        <v>12</v>
      </c>
      <c r="G53" s="18">
        <v>96140</v>
      </c>
      <c r="H53" t="s">
        <v>205</v>
      </c>
      <c r="I53" s="9">
        <f ca="1">(TODAY()-all_staff[[#This Row],[Date Joined]])/365</f>
        <v>5.7424657534246579</v>
      </c>
      <c r="J53" s="18">
        <f ca="1">ROUNDUP(IF(all_staff[[#This Row],[Tenure]]&gt;2,3%,2%)*all_staff[[#This Row],[Salary]],0)</f>
        <v>2885</v>
      </c>
    </row>
    <row r="54" spans="1:10" x14ac:dyDescent="0.35">
      <c r="A54" t="s">
        <v>71</v>
      </c>
      <c r="B54" t="s">
        <v>8</v>
      </c>
      <c r="C54">
        <v>33</v>
      </c>
      <c r="D54" t="s">
        <v>16</v>
      </c>
      <c r="E54" s="6">
        <v>44190</v>
      </c>
      <c r="F54" t="s">
        <v>12</v>
      </c>
      <c r="G54" s="18">
        <v>96140</v>
      </c>
      <c r="H54" t="s">
        <v>207</v>
      </c>
      <c r="I54" s="9">
        <f ca="1">(TODAY()-all_staff[[#This Row],[Date Joined]])/365</f>
        <v>5.5753424657534243</v>
      </c>
      <c r="J54" s="18">
        <f ca="1">ROUNDUP(IF(all_staff[[#This Row],[Tenure]]&gt;2,3%,2%)*all_staff[[#This Row],[Salary]],0)</f>
        <v>2885</v>
      </c>
    </row>
    <row r="55" spans="1:10" x14ac:dyDescent="0.35">
      <c r="A55" t="s">
        <v>169</v>
      </c>
      <c r="B55" t="s">
        <v>8</v>
      </c>
      <c r="C55">
        <v>25</v>
      </c>
      <c r="D55" t="s">
        <v>16</v>
      </c>
      <c r="E55" s="6">
        <v>44144</v>
      </c>
      <c r="F55" t="s">
        <v>19</v>
      </c>
      <c r="G55" s="18">
        <v>92700</v>
      </c>
      <c r="H55" t="s">
        <v>205</v>
      </c>
      <c r="I55" s="9">
        <f ca="1">(TODAY()-all_staff[[#This Row],[Date Joined]])/365</f>
        <v>5.7013698630136984</v>
      </c>
      <c r="J55" s="18">
        <f ca="1">ROUNDUP(IF(all_staff[[#This Row],[Tenure]]&gt;2,3%,2%)*all_staff[[#This Row],[Salary]],0)</f>
        <v>2781</v>
      </c>
    </row>
    <row r="56" spans="1:10" x14ac:dyDescent="0.35">
      <c r="A56" t="s">
        <v>77</v>
      </c>
      <c r="B56" t="s">
        <v>8</v>
      </c>
      <c r="C56">
        <v>25</v>
      </c>
      <c r="D56" t="s">
        <v>16</v>
      </c>
      <c r="E56" s="6">
        <v>44205</v>
      </c>
      <c r="F56" t="s">
        <v>19</v>
      </c>
      <c r="G56" s="18">
        <v>92700</v>
      </c>
      <c r="H56" t="s">
        <v>207</v>
      </c>
      <c r="I56" s="9">
        <f ca="1">(TODAY()-all_staff[[#This Row],[Date Joined]])/365</f>
        <v>5.5342465753424657</v>
      </c>
      <c r="J56" s="18">
        <f ca="1">ROUNDUP(IF(all_staff[[#This Row],[Tenure]]&gt;2,3%,2%)*all_staff[[#This Row],[Salary]],0)</f>
        <v>2781</v>
      </c>
    </row>
    <row r="57" spans="1:10" x14ac:dyDescent="0.35">
      <c r="A57" t="s">
        <v>195</v>
      </c>
      <c r="B57" t="s">
        <v>8</v>
      </c>
      <c r="C57">
        <v>34</v>
      </c>
      <c r="D57" t="s">
        <v>16</v>
      </c>
      <c r="E57" s="6">
        <v>44383</v>
      </c>
      <c r="F57" t="s">
        <v>21</v>
      </c>
      <c r="G57" s="18">
        <v>92450</v>
      </c>
      <c r="H57" t="s">
        <v>205</v>
      </c>
      <c r="I57" s="9">
        <f ca="1">(TODAY()-all_staff[[#This Row],[Date Joined]])/365</f>
        <v>5.0465753424657533</v>
      </c>
      <c r="J57" s="18">
        <f ca="1">ROUNDUP(IF(all_staff[[#This Row],[Tenure]]&gt;2,3%,2%)*all_staff[[#This Row],[Salary]],0)</f>
        <v>2774</v>
      </c>
    </row>
    <row r="58" spans="1:10" x14ac:dyDescent="0.35">
      <c r="A58" t="s">
        <v>102</v>
      </c>
      <c r="B58" t="s">
        <v>8</v>
      </c>
      <c r="C58">
        <v>34</v>
      </c>
      <c r="D58" t="s">
        <v>16</v>
      </c>
      <c r="E58" s="6">
        <v>44445</v>
      </c>
      <c r="F58" t="s">
        <v>21</v>
      </c>
      <c r="G58" s="18">
        <v>92450</v>
      </c>
      <c r="H58" t="s">
        <v>207</v>
      </c>
      <c r="I58" s="9">
        <f ca="1">(TODAY()-all_staff[[#This Row],[Date Joined]])/365</f>
        <v>4.8767123287671232</v>
      </c>
      <c r="J58" s="18">
        <f ca="1">ROUNDUP(IF(all_staff[[#This Row],[Tenure]]&gt;2,3%,2%)*all_staff[[#This Row],[Salary]],0)</f>
        <v>2774</v>
      </c>
    </row>
    <row r="59" spans="1:10" x14ac:dyDescent="0.35">
      <c r="A59" t="s">
        <v>160</v>
      </c>
      <c r="B59" t="s">
        <v>15</v>
      </c>
      <c r="C59">
        <v>27</v>
      </c>
      <c r="D59" t="s">
        <v>13</v>
      </c>
      <c r="E59" s="6">
        <v>44174</v>
      </c>
      <c r="F59" t="s">
        <v>21</v>
      </c>
      <c r="G59" s="18">
        <v>91650</v>
      </c>
      <c r="H59" t="s">
        <v>205</v>
      </c>
      <c r="I59" s="9">
        <f ca="1">(TODAY()-all_staff[[#This Row],[Date Joined]])/365</f>
        <v>5.6191780821917812</v>
      </c>
      <c r="J59" s="18">
        <f ca="1">ROUNDUP(IF(all_staff[[#This Row],[Tenure]]&gt;2,3%,2%)*all_staff[[#This Row],[Salary]],0)</f>
        <v>2750</v>
      </c>
    </row>
    <row r="60" spans="1:10" x14ac:dyDescent="0.35">
      <c r="A60" t="s">
        <v>68</v>
      </c>
      <c r="B60" t="s">
        <v>15</v>
      </c>
      <c r="C60">
        <v>27</v>
      </c>
      <c r="D60" t="s">
        <v>13</v>
      </c>
      <c r="E60" s="6">
        <v>44236</v>
      </c>
      <c r="F60" t="s">
        <v>21</v>
      </c>
      <c r="G60" s="18">
        <v>91650</v>
      </c>
      <c r="H60" t="s">
        <v>207</v>
      </c>
      <c r="I60" s="9">
        <f ca="1">(TODAY()-all_staff[[#This Row],[Date Joined]])/365</f>
        <v>5.4493150684931511</v>
      </c>
      <c r="J60" s="18">
        <f ca="1">ROUNDUP(IF(all_staff[[#This Row],[Tenure]]&gt;2,3%,2%)*all_staff[[#This Row],[Salary]],0)</f>
        <v>2750</v>
      </c>
    </row>
    <row r="61" spans="1:10" x14ac:dyDescent="0.35">
      <c r="A61" t="s">
        <v>145</v>
      </c>
      <c r="B61" t="s">
        <v>206</v>
      </c>
      <c r="C61">
        <v>32</v>
      </c>
      <c r="D61" t="s">
        <v>16</v>
      </c>
      <c r="E61" s="6">
        <v>44713</v>
      </c>
      <c r="F61" t="s">
        <v>12</v>
      </c>
      <c r="G61" s="18">
        <v>91310</v>
      </c>
      <c r="H61" t="s">
        <v>205</v>
      </c>
      <c r="I61" s="9">
        <f ca="1">(TODAY()-all_staff[[#This Row],[Date Joined]])/365</f>
        <v>4.1424657534246574</v>
      </c>
      <c r="J61" s="18">
        <f ca="1">ROUNDUP(IF(all_staff[[#This Row],[Tenure]]&gt;2,3%,2%)*all_staff[[#This Row],[Salary]],0)</f>
        <v>2740</v>
      </c>
    </row>
    <row r="62" spans="1:10" x14ac:dyDescent="0.35">
      <c r="A62" t="s">
        <v>52</v>
      </c>
      <c r="B62" t="s">
        <v>206</v>
      </c>
      <c r="C62">
        <v>32</v>
      </c>
      <c r="D62" t="s">
        <v>16</v>
      </c>
      <c r="E62" s="6">
        <v>44774</v>
      </c>
      <c r="F62" t="s">
        <v>12</v>
      </c>
      <c r="G62" s="18">
        <v>91310</v>
      </c>
      <c r="H62" t="s">
        <v>207</v>
      </c>
      <c r="I62" s="9">
        <f ca="1">(TODAY()-all_staff[[#This Row],[Date Joined]])/365</f>
        <v>3.9753424657534246</v>
      </c>
      <c r="J62" s="18">
        <f ca="1">ROUNDUP(IF(all_staff[[#This Row],[Tenure]]&gt;2,3%,2%)*all_staff[[#This Row],[Salary]],0)</f>
        <v>2740</v>
      </c>
    </row>
    <row r="63" spans="1:10" x14ac:dyDescent="0.35">
      <c r="A63" t="s">
        <v>112</v>
      </c>
      <c r="B63" t="s">
        <v>206</v>
      </c>
      <c r="C63">
        <v>27</v>
      </c>
      <c r="D63" t="s">
        <v>13</v>
      </c>
      <c r="E63" s="6">
        <v>44212</v>
      </c>
      <c r="F63" t="s">
        <v>12</v>
      </c>
      <c r="G63" s="18">
        <v>90700</v>
      </c>
      <c r="H63" t="s">
        <v>205</v>
      </c>
      <c r="I63" s="9">
        <f ca="1">(TODAY()-all_staff[[#This Row],[Date Joined]])/365</f>
        <v>5.515068493150685</v>
      </c>
      <c r="J63" s="18">
        <f ca="1">ROUNDUP(IF(all_staff[[#This Row],[Tenure]]&gt;2,3%,2%)*all_staff[[#This Row],[Salary]],0)</f>
        <v>2721</v>
      </c>
    </row>
    <row r="64" spans="1:10" x14ac:dyDescent="0.35">
      <c r="A64" t="s">
        <v>11</v>
      </c>
      <c r="B64" t="s">
        <v>206</v>
      </c>
      <c r="C64">
        <v>26</v>
      </c>
      <c r="D64" t="s">
        <v>13</v>
      </c>
      <c r="E64" s="6">
        <v>44271</v>
      </c>
      <c r="F64" t="s">
        <v>12</v>
      </c>
      <c r="G64" s="18">
        <v>90700</v>
      </c>
      <c r="H64" t="s">
        <v>207</v>
      </c>
      <c r="I64" s="9">
        <f ca="1">(TODAY()-all_staff[[#This Row],[Date Joined]])/365</f>
        <v>5.353424657534247</v>
      </c>
      <c r="J64" s="18">
        <f ca="1">ROUNDUP(IF(all_staff[[#This Row],[Tenure]]&gt;2,3%,2%)*all_staff[[#This Row],[Salary]],0)</f>
        <v>2721</v>
      </c>
    </row>
    <row r="65" spans="1:10" x14ac:dyDescent="0.35">
      <c r="A65" t="s">
        <v>118</v>
      </c>
      <c r="B65" t="s">
        <v>15</v>
      </c>
      <c r="C65">
        <v>37</v>
      </c>
      <c r="D65" t="s">
        <v>24</v>
      </c>
      <c r="E65" s="6">
        <v>44277</v>
      </c>
      <c r="F65" t="s">
        <v>12</v>
      </c>
      <c r="G65" s="18">
        <v>88050</v>
      </c>
      <c r="H65" t="s">
        <v>205</v>
      </c>
      <c r="I65" s="9">
        <f ca="1">(TODAY()-all_staff[[#This Row],[Date Joined]])/365</f>
        <v>5.3369863013698629</v>
      </c>
      <c r="J65" s="18">
        <f ca="1">ROUNDUP(IF(all_staff[[#This Row],[Tenure]]&gt;2,3%,2%)*all_staff[[#This Row],[Salary]],0)</f>
        <v>2642</v>
      </c>
    </row>
    <row r="66" spans="1:10" x14ac:dyDescent="0.35">
      <c r="A66" t="s">
        <v>23</v>
      </c>
      <c r="B66" t="s">
        <v>15</v>
      </c>
      <c r="C66">
        <v>37</v>
      </c>
      <c r="D66" t="s">
        <v>24</v>
      </c>
      <c r="E66" s="6">
        <v>44338</v>
      </c>
      <c r="F66" t="s">
        <v>12</v>
      </c>
      <c r="G66" s="18">
        <v>88050</v>
      </c>
      <c r="H66" t="s">
        <v>207</v>
      </c>
      <c r="I66" s="9">
        <f ca="1">(TODAY()-all_staff[[#This Row],[Date Joined]])/365</f>
        <v>5.1698630136986301</v>
      </c>
      <c r="J66" s="18">
        <f ca="1">ROUNDUP(IF(all_staff[[#This Row],[Tenure]]&gt;2,3%,2%)*all_staff[[#This Row],[Salary]],0)</f>
        <v>2642</v>
      </c>
    </row>
    <row r="67" spans="1:10" x14ac:dyDescent="0.35">
      <c r="A67" t="s">
        <v>166</v>
      </c>
      <c r="B67" t="s">
        <v>8</v>
      </c>
      <c r="C67">
        <v>40</v>
      </c>
      <c r="D67" t="s">
        <v>16</v>
      </c>
      <c r="E67" s="6">
        <v>44276</v>
      </c>
      <c r="F67" t="s">
        <v>12</v>
      </c>
      <c r="G67" s="18">
        <v>87620</v>
      </c>
      <c r="H67" t="s">
        <v>205</v>
      </c>
      <c r="I67" s="9">
        <f ca="1">(TODAY()-all_staff[[#This Row],[Date Joined]])/365</f>
        <v>5.3397260273972602</v>
      </c>
      <c r="J67" s="18">
        <f ca="1">ROUNDUP(IF(all_staff[[#This Row],[Tenure]]&gt;2,3%,2%)*all_staff[[#This Row],[Salary]],0)</f>
        <v>2629</v>
      </c>
    </row>
    <row r="68" spans="1:10" x14ac:dyDescent="0.35">
      <c r="A68" t="s">
        <v>74</v>
      </c>
      <c r="B68" t="s">
        <v>8</v>
      </c>
      <c r="C68">
        <v>40</v>
      </c>
      <c r="D68" t="s">
        <v>16</v>
      </c>
      <c r="E68" s="6">
        <v>44337</v>
      </c>
      <c r="F68" t="s">
        <v>12</v>
      </c>
      <c r="G68" s="18">
        <v>87620</v>
      </c>
      <c r="H68" t="s">
        <v>207</v>
      </c>
      <c r="I68" s="9">
        <f ca="1">(TODAY()-all_staff[[#This Row],[Date Joined]])/365</f>
        <v>5.1726027397260275</v>
      </c>
      <c r="J68" s="18">
        <f ca="1">ROUNDUP(IF(all_staff[[#This Row],[Tenure]]&gt;2,3%,2%)*all_staff[[#This Row],[Salary]],0)</f>
        <v>2629</v>
      </c>
    </row>
    <row r="69" spans="1:10" x14ac:dyDescent="0.35">
      <c r="A69" t="s">
        <v>181</v>
      </c>
      <c r="B69" t="s">
        <v>8</v>
      </c>
      <c r="C69">
        <v>33</v>
      </c>
      <c r="D69" t="s">
        <v>16</v>
      </c>
      <c r="E69" s="6">
        <v>44747</v>
      </c>
      <c r="F69" t="s">
        <v>21</v>
      </c>
      <c r="G69" s="18">
        <v>86570</v>
      </c>
      <c r="H69" t="s">
        <v>205</v>
      </c>
      <c r="I69" s="9">
        <f ca="1">(TODAY()-all_staff[[#This Row],[Date Joined]])/365</f>
        <v>4.0493150684931507</v>
      </c>
      <c r="J69" s="18">
        <f ca="1">ROUNDUP(IF(all_staff[[#This Row],[Tenure]]&gt;2,3%,2%)*all_staff[[#This Row],[Salary]],0)</f>
        <v>2598</v>
      </c>
    </row>
    <row r="70" spans="1:10" x14ac:dyDescent="0.35">
      <c r="A70" t="s">
        <v>88</v>
      </c>
      <c r="B70" t="s">
        <v>8</v>
      </c>
      <c r="C70">
        <v>33</v>
      </c>
      <c r="D70" t="s">
        <v>16</v>
      </c>
      <c r="E70" s="6">
        <v>44809</v>
      </c>
      <c r="F70" t="s">
        <v>21</v>
      </c>
      <c r="G70" s="18">
        <v>86570</v>
      </c>
      <c r="H70" t="s">
        <v>207</v>
      </c>
      <c r="I70" s="9">
        <f ca="1">(TODAY()-all_staff[[#This Row],[Date Joined]])/365</f>
        <v>3.8794520547945206</v>
      </c>
      <c r="J70" s="18">
        <f ca="1">ROUNDUP(IF(all_staff[[#This Row],[Tenure]]&gt;2,3%,2%)*all_staff[[#This Row],[Salary]],0)</f>
        <v>2598</v>
      </c>
    </row>
    <row r="71" spans="1:10" x14ac:dyDescent="0.35">
      <c r="A71" t="s">
        <v>122</v>
      </c>
      <c r="B71" t="s">
        <v>8</v>
      </c>
      <c r="C71">
        <v>34</v>
      </c>
      <c r="D71" t="s">
        <v>16</v>
      </c>
      <c r="E71" s="6">
        <v>44397</v>
      </c>
      <c r="F71" t="s">
        <v>21</v>
      </c>
      <c r="G71" s="18">
        <v>85000</v>
      </c>
      <c r="H71" t="s">
        <v>205</v>
      </c>
      <c r="I71" s="9">
        <f ca="1">(TODAY()-all_staff[[#This Row],[Date Joined]])/365</f>
        <v>5.0082191780821921</v>
      </c>
      <c r="J71" s="18">
        <f ca="1">ROUNDUP(IF(all_staff[[#This Row],[Tenure]]&gt;2,3%,2%)*all_staff[[#This Row],[Salary]],0)</f>
        <v>2550</v>
      </c>
    </row>
    <row r="72" spans="1:10" x14ac:dyDescent="0.35">
      <c r="A72" t="s">
        <v>28</v>
      </c>
      <c r="B72" t="s">
        <v>8</v>
      </c>
      <c r="C72">
        <v>34</v>
      </c>
      <c r="D72" t="s">
        <v>16</v>
      </c>
      <c r="E72" s="6">
        <v>44459</v>
      </c>
      <c r="F72" t="s">
        <v>21</v>
      </c>
      <c r="G72" s="18">
        <v>85000</v>
      </c>
      <c r="H72" t="s">
        <v>207</v>
      </c>
      <c r="I72" s="9">
        <f ca="1">(TODAY()-all_staff[[#This Row],[Date Joined]])/365</f>
        <v>4.838356164383562</v>
      </c>
      <c r="J72" s="18">
        <f ca="1">ROUNDUP(IF(all_staff[[#This Row],[Tenure]]&gt;2,3%,2%)*all_staff[[#This Row],[Salary]],0)</f>
        <v>2550</v>
      </c>
    </row>
    <row r="73" spans="1:10" x14ac:dyDescent="0.35">
      <c r="A73" t="s">
        <v>185</v>
      </c>
      <c r="B73" t="s">
        <v>8</v>
      </c>
      <c r="C73">
        <v>27</v>
      </c>
      <c r="D73" t="s">
        <v>16</v>
      </c>
      <c r="E73" s="6">
        <v>44625</v>
      </c>
      <c r="F73" t="s">
        <v>12</v>
      </c>
      <c r="G73" s="18">
        <v>83750</v>
      </c>
      <c r="H73" t="s">
        <v>205</v>
      </c>
      <c r="I73" s="9">
        <f ca="1">(TODAY()-all_staff[[#This Row],[Date Joined]])/365</f>
        <v>4.3835616438356162</v>
      </c>
      <c r="J73" s="18">
        <f ca="1">ROUNDUP(IF(all_staff[[#This Row],[Tenure]]&gt;2,3%,2%)*all_staff[[#This Row],[Salary]],0)</f>
        <v>2513</v>
      </c>
    </row>
    <row r="74" spans="1:10" x14ac:dyDescent="0.35">
      <c r="A74" t="s">
        <v>92</v>
      </c>
      <c r="B74" t="s">
        <v>8</v>
      </c>
      <c r="C74">
        <v>27</v>
      </c>
      <c r="D74" t="s">
        <v>16</v>
      </c>
      <c r="E74" s="6">
        <v>44686</v>
      </c>
      <c r="F74" t="s">
        <v>12</v>
      </c>
      <c r="G74" s="18">
        <v>83750</v>
      </c>
      <c r="H74" t="s">
        <v>207</v>
      </c>
      <c r="I74" s="9">
        <f ca="1">(TODAY()-all_staff[[#This Row],[Date Joined]])/365</f>
        <v>4.2164383561643834</v>
      </c>
      <c r="J74" s="18">
        <f ca="1">ROUNDUP(IF(all_staff[[#This Row],[Tenure]]&gt;2,3%,2%)*all_staff[[#This Row],[Salary]],0)</f>
        <v>2513</v>
      </c>
    </row>
    <row r="75" spans="1:10" x14ac:dyDescent="0.35">
      <c r="A75" t="s">
        <v>133</v>
      </c>
      <c r="B75" t="s">
        <v>8</v>
      </c>
      <c r="C75">
        <v>25</v>
      </c>
      <c r="D75" t="s">
        <v>13</v>
      </c>
      <c r="E75" s="6">
        <v>44633</v>
      </c>
      <c r="F75" t="s">
        <v>12</v>
      </c>
      <c r="G75" s="18">
        <v>80700</v>
      </c>
      <c r="H75" t="s">
        <v>205</v>
      </c>
      <c r="I75" s="9">
        <f ca="1">(TODAY()-all_staff[[#This Row],[Date Joined]])/365</f>
        <v>4.3616438356164382</v>
      </c>
      <c r="J75" s="18">
        <f ca="1">ROUNDUP(IF(all_staff[[#This Row],[Tenure]]&gt;2,3%,2%)*all_staff[[#This Row],[Salary]],0)</f>
        <v>2421</v>
      </c>
    </row>
    <row r="76" spans="1:10" x14ac:dyDescent="0.35">
      <c r="A76" t="s">
        <v>39</v>
      </c>
      <c r="B76" t="s">
        <v>8</v>
      </c>
      <c r="C76">
        <v>25</v>
      </c>
      <c r="D76" t="s">
        <v>13</v>
      </c>
      <c r="E76" s="6">
        <v>44694</v>
      </c>
      <c r="F76" t="s">
        <v>12</v>
      </c>
      <c r="G76" s="18">
        <v>80700</v>
      </c>
      <c r="H76" t="s">
        <v>207</v>
      </c>
      <c r="I76" s="9">
        <f ca="1">(TODAY()-all_staff[[#This Row],[Date Joined]])/365</f>
        <v>4.1945205479452055</v>
      </c>
      <c r="J76" s="18">
        <f ca="1">ROUNDUP(IF(all_staff[[#This Row],[Tenure]]&gt;2,3%,2%)*all_staff[[#This Row],[Salary]],0)</f>
        <v>2421</v>
      </c>
    </row>
    <row r="77" spans="1:10" x14ac:dyDescent="0.35">
      <c r="A77" t="s">
        <v>197</v>
      </c>
      <c r="B77" t="s">
        <v>15</v>
      </c>
      <c r="C77">
        <v>20</v>
      </c>
      <c r="D77" t="s">
        <v>16</v>
      </c>
      <c r="E77" s="6">
        <v>44683</v>
      </c>
      <c r="F77" t="s">
        <v>9</v>
      </c>
      <c r="G77" s="18">
        <v>79570</v>
      </c>
      <c r="H77" t="s">
        <v>205</v>
      </c>
      <c r="I77" s="9">
        <f ca="1">(TODAY()-all_staff[[#This Row],[Date Joined]])/365</f>
        <v>4.2246575342465755</v>
      </c>
      <c r="J77" s="18">
        <f ca="1">ROUNDUP(IF(all_staff[[#This Row],[Tenure]]&gt;2,3%,2%)*all_staff[[#This Row],[Salary]],0)</f>
        <v>2388</v>
      </c>
    </row>
    <row r="78" spans="1:10" x14ac:dyDescent="0.35">
      <c r="A78" t="s">
        <v>104</v>
      </c>
      <c r="B78" t="s">
        <v>15</v>
      </c>
      <c r="C78">
        <v>20</v>
      </c>
      <c r="D78" t="s">
        <v>16</v>
      </c>
      <c r="E78" s="6">
        <v>44744</v>
      </c>
      <c r="F78" t="s">
        <v>9</v>
      </c>
      <c r="G78" s="18">
        <v>79570</v>
      </c>
      <c r="H78" t="s">
        <v>207</v>
      </c>
      <c r="I78" s="9">
        <f ca="1">(TODAY()-all_staff[[#This Row],[Date Joined]])/365</f>
        <v>4.0575342465753428</v>
      </c>
      <c r="J78" s="18">
        <f ca="1">ROUNDUP(IF(all_staff[[#This Row],[Tenure]]&gt;2,3%,2%)*all_staff[[#This Row],[Salary]],0)</f>
        <v>2388</v>
      </c>
    </row>
    <row r="79" spans="1:10" x14ac:dyDescent="0.35">
      <c r="A79" t="s">
        <v>141</v>
      </c>
      <c r="B79" t="s">
        <v>8</v>
      </c>
      <c r="C79">
        <v>36</v>
      </c>
      <c r="D79" t="s">
        <v>16</v>
      </c>
      <c r="E79" s="6">
        <v>44433</v>
      </c>
      <c r="F79" t="s">
        <v>19</v>
      </c>
      <c r="G79" s="18">
        <v>78540</v>
      </c>
      <c r="H79" t="s">
        <v>205</v>
      </c>
      <c r="I79" s="9">
        <f ca="1">(TODAY()-all_staff[[#This Row],[Date Joined]])/365</f>
        <v>4.9095890410958907</v>
      </c>
      <c r="J79" s="18">
        <f ca="1">ROUNDUP(IF(all_staff[[#This Row],[Tenure]]&gt;2,3%,2%)*all_staff[[#This Row],[Salary]],0)</f>
        <v>2357</v>
      </c>
    </row>
    <row r="80" spans="1:10" x14ac:dyDescent="0.35">
      <c r="A80" t="s">
        <v>48</v>
      </c>
      <c r="B80" t="s">
        <v>8</v>
      </c>
      <c r="C80">
        <v>36</v>
      </c>
      <c r="D80" t="s">
        <v>16</v>
      </c>
      <c r="E80" s="6">
        <v>44494</v>
      </c>
      <c r="F80" t="s">
        <v>19</v>
      </c>
      <c r="G80" s="18">
        <v>78540</v>
      </c>
      <c r="H80" t="s">
        <v>207</v>
      </c>
      <c r="I80" s="9">
        <f ca="1">(TODAY()-all_staff[[#This Row],[Date Joined]])/365</f>
        <v>4.7424657534246579</v>
      </c>
      <c r="J80" s="18">
        <f ca="1">ROUNDUP(IF(all_staff[[#This Row],[Tenure]]&gt;2,3%,2%)*all_staff[[#This Row],[Salary]],0)</f>
        <v>2357</v>
      </c>
    </row>
    <row r="81" spans="1:10" x14ac:dyDescent="0.35">
      <c r="A81" t="s">
        <v>164</v>
      </c>
      <c r="B81" t="s">
        <v>8</v>
      </c>
      <c r="C81">
        <v>36</v>
      </c>
      <c r="D81" t="s">
        <v>16</v>
      </c>
      <c r="E81" s="6">
        <v>44468</v>
      </c>
      <c r="F81" t="s">
        <v>9</v>
      </c>
      <c r="G81" s="18">
        <v>78390</v>
      </c>
      <c r="H81" t="s">
        <v>205</v>
      </c>
      <c r="I81" s="9">
        <f ca="1">(TODAY()-all_staff[[#This Row],[Date Joined]])/365</f>
        <v>4.8136986301369866</v>
      </c>
      <c r="J81" s="18">
        <f ca="1">ROUNDUP(IF(all_staff[[#This Row],[Tenure]]&gt;2,3%,2%)*all_staff[[#This Row],[Salary]],0)</f>
        <v>2352</v>
      </c>
    </row>
    <row r="82" spans="1:10" x14ac:dyDescent="0.35">
      <c r="A82" t="s">
        <v>72</v>
      </c>
      <c r="B82" t="s">
        <v>8</v>
      </c>
      <c r="C82">
        <v>36</v>
      </c>
      <c r="D82" t="s">
        <v>16</v>
      </c>
      <c r="E82" s="6">
        <v>44529</v>
      </c>
      <c r="F82" t="s">
        <v>9</v>
      </c>
      <c r="G82" s="18">
        <v>78390</v>
      </c>
      <c r="H82" t="s">
        <v>207</v>
      </c>
      <c r="I82" s="9">
        <f ca="1">(TODAY()-all_staff[[#This Row],[Date Joined]])/365</f>
        <v>4.646575342465753</v>
      </c>
      <c r="J82" s="18">
        <f ca="1">ROUNDUP(IF(all_staff[[#This Row],[Tenure]]&gt;2,3%,2%)*all_staff[[#This Row],[Salary]],0)</f>
        <v>2352</v>
      </c>
    </row>
    <row r="83" spans="1:10" x14ac:dyDescent="0.35">
      <c r="A83" t="s">
        <v>154</v>
      </c>
      <c r="B83" t="s">
        <v>8</v>
      </c>
      <c r="C83">
        <v>22</v>
      </c>
      <c r="D83" t="s">
        <v>13</v>
      </c>
      <c r="E83" s="6">
        <v>44388</v>
      </c>
      <c r="F83" t="s">
        <v>9</v>
      </c>
      <c r="G83" s="18">
        <v>76900</v>
      </c>
      <c r="H83" t="s">
        <v>205</v>
      </c>
      <c r="I83" s="9">
        <f ca="1">(TODAY()-all_staff[[#This Row],[Date Joined]])/365</f>
        <v>5.0328767123287674</v>
      </c>
      <c r="J83" s="18">
        <f ca="1">ROUNDUP(IF(all_staff[[#This Row],[Tenure]]&gt;2,3%,2%)*all_staff[[#This Row],[Salary]],0)</f>
        <v>2307</v>
      </c>
    </row>
    <row r="84" spans="1:10" x14ac:dyDescent="0.35">
      <c r="A84" t="s">
        <v>62</v>
      </c>
      <c r="B84" t="s">
        <v>8</v>
      </c>
      <c r="C84">
        <v>22</v>
      </c>
      <c r="D84" t="s">
        <v>13</v>
      </c>
      <c r="E84" s="6">
        <v>44450</v>
      </c>
      <c r="F84" t="s">
        <v>9</v>
      </c>
      <c r="G84" s="18">
        <v>76900</v>
      </c>
      <c r="H84" t="s">
        <v>207</v>
      </c>
      <c r="I84" s="9">
        <f ca="1">(TODAY()-all_staff[[#This Row],[Date Joined]])/365</f>
        <v>4.8630136986301373</v>
      </c>
      <c r="J84" s="18">
        <f ca="1">ROUNDUP(IF(all_staff[[#This Row],[Tenure]]&gt;2,3%,2%)*all_staff[[#This Row],[Salary]],0)</f>
        <v>2307</v>
      </c>
    </row>
    <row r="85" spans="1:10" x14ac:dyDescent="0.35">
      <c r="A85" t="s">
        <v>129</v>
      </c>
      <c r="B85" t="s">
        <v>8</v>
      </c>
      <c r="C85">
        <v>28</v>
      </c>
      <c r="D85" t="s">
        <v>16</v>
      </c>
      <c r="E85" s="6">
        <v>44124</v>
      </c>
      <c r="F85" t="s">
        <v>21</v>
      </c>
      <c r="G85" s="18">
        <v>75970</v>
      </c>
      <c r="H85" t="s">
        <v>205</v>
      </c>
      <c r="I85" s="9">
        <f ca="1">(TODAY()-all_staff[[#This Row],[Date Joined]])/365</f>
        <v>5.7561643835616438</v>
      </c>
      <c r="J85" s="18">
        <f ca="1">ROUNDUP(IF(all_staff[[#This Row],[Tenure]]&gt;2,3%,2%)*all_staff[[#This Row],[Salary]],0)</f>
        <v>2280</v>
      </c>
    </row>
    <row r="86" spans="1:10" x14ac:dyDescent="0.35">
      <c r="A86" t="s">
        <v>35</v>
      </c>
      <c r="B86" t="s">
        <v>8</v>
      </c>
      <c r="C86">
        <v>28</v>
      </c>
      <c r="D86" t="s">
        <v>16</v>
      </c>
      <c r="E86" s="6">
        <v>44185</v>
      </c>
      <c r="F86" t="s">
        <v>21</v>
      </c>
      <c r="G86" s="18">
        <v>75970</v>
      </c>
      <c r="H86" t="s">
        <v>207</v>
      </c>
      <c r="I86" s="9">
        <f ca="1">(TODAY()-all_staff[[#This Row],[Date Joined]])/365</f>
        <v>5.5890410958904111</v>
      </c>
      <c r="J86" s="18">
        <f ca="1">ROUNDUP(IF(all_staff[[#This Row],[Tenure]]&gt;2,3%,2%)*all_staff[[#This Row],[Salary]],0)</f>
        <v>2280</v>
      </c>
    </row>
    <row r="87" spans="1:10" x14ac:dyDescent="0.35">
      <c r="A87" t="s">
        <v>170</v>
      </c>
      <c r="B87" t="s">
        <v>15</v>
      </c>
      <c r="C87">
        <v>21</v>
      </c>
      <c r="D87" t="s">
        <v>16</v>
      </c>
      <c r="E87" s="6">
        <v>44180</v>
      </c>
      <c r="F87" t="s">
        <v>56</v>
      </c>
      <c r="G87" s="18">
        <v>75880</v>
      </c>
      <c r="H87" t="s">
        <v>205</v>
      </c>
      <c r="I87" s="9">
        <f ca="1">(TODAY()-all_staff[[#This Row],[Date Joined]])/365</f>
        <v>5.602739726027397</v>
      </c>
      <c r="J87" s="18">
        <f ca="1">ROUNDUP(IF(all_staff[[#This Row],[Tenure]]&gt;2,3%,2%)*all_staff[[#This Row],[Salary]],0)</f>
        <v>2277</v>
      </c>
    </row>
    <row r="88" spans="1:10" x14ac:dyDescent="0.35">
      <c r="A88" t="s">
        <v>78</v>
      </c>
      <c r="B88" t="s">
        <v>15</v>
      </c>
      <c r="C88">
        <v>21</v>
      </c>
      <c r="D88" t="s">
        <v>16</v>
      </c>
      <c r="E88" s="6">
        <v>44242</v>
      </c>
      <c r="F88" t="s">
        <v>56</v>
      </c>
      <c r="G88" s="18">
        <v>75880</v>
      </c>
      <c r="H88" t="s">
        <v>207</v>
      </c>
      <c r="I88" s="9">
        <f ca="1">(TODAY()-all_staff[[#This Row],[Date Joined]])/365</f>
        <v>5.4328767123287669</v>
      </c>
      <c r="J88" s="18">
        <f ca="1">ROUNDUP(IF(all_staff[[#This Row],[Tenure]]&gt;2,3%,2%)*all_staff[[#This Row],[Salary]],0)</f>
        <v>2277</v>
      </c>
    </row>
    <row r="89" spans="1:10" x14ac:dyDescent="0.35">
      <c r="A89" t="s">
        <v>135</v>
      </c>
      <c r="B89" t="s">
        <v>8</v>
      </c>
      <c r="C89">
        <v>33</v>
      </c>
      <c r="D89" t="s">
        <v>42</v>
      </c>
      <c r="E89" s="6">
        <v>44313</v>
      </c>
      <c r="F89" t="s">
        <v>12</v>
      </c>
      <c r="G89" s="18">
        <v>75480</v>
      </c>
      <c r="H89" t="s">
        <v>205</v>
      </c>
      <c r="I89" s="9">
        <f ca="1">(TODAY()-all_staff[[#This Row],[Date Joined]])/365</f>
        <v>5.2383561643835614</v>
      </c>
      <c r="J89" s="18">
        <f ca="1">ROUNDUP(IF(all_staff[[#This Row],[Tenure]]&gt;2,3%,2%)*all_staff[[#This Row],[Salary]],0)</f>
        <v>2265</v>
      </c>
    </row>
    <row r="90" spans="1:10" x14ac:dyDescent="0.35">
      <c r="A90" t="s">
        <v>41</v>
      </c>
      <c r="B90" t="s">
        <v>8</v>
      </c>
      <c r="C90">
        <v>33</v>
      </c>
      <c r="D90" t="s">
        <v>42</v>
      </c>
      <c r="E90" s="6">
        <v>44374</v>
      </c>
      <c r="F90" t="s">
        <v>12</v>
      </c>
      <c r="G90" s="18">
        <v>75480</v>
      </c>
      <c r="H90" t="s">
        <v>207</v>
      </c>
      <c r="I90" s="9">
        <f ca="1">(TODAY()-all_staff[[#This Row],[Date Joined]])/365</f>
        <v>5.0712328767123287</v>
      </c>
      <c r="J90" s="18">
        <f ca="1">ROUNDUP(IF(all_staff[[#This Row],[Tenure]]&gt;2,3%,2%)*all_staff[[#This Row],[Salary]],0)</f>
        <v>2265</v>
      </c>
    </row>
    <row r="91" spans="1:10" x14ac:dyDescent="0.35">
      <c r="A91" t="s">
        <v>188</v>
      </c>
      <c r="B91" t="s">
        <v>8</v>
      </c>
      <c r="C91">
        <v>33</v>
      </c>
      <c r="D91" t="s">
        <v>16</v>
      </c>
      <c r="E91" s="6">
        <v>44253</v>
      </c>
      <c r="F91" t="s">
        <v>12</v>
      </c>
      <c r="G91" s="18">
        <v>75280</v>
      </c>
      <c r="H91" t="s">
        <v>205</v>
      </c>
      <c r="I91" s="9">
        <f ca="1">(TODAY()-all_staff[[#This Row],[Date Joined]])/365</f>
        <v>5.4027397260273968</v>
      </c>
      <c r="J91" s="18">
        <f ca="1">ROUNDUP(IF(all_staff[[#This Row],[Tenure]]&gt;2,3%,2%)*all_staff[[#This Row],[Salary]],0)</f>
        <v>2259</v>
      </c>
    </row>
    <row r="92" spans="1:10" x14ac:dyDescent="0.35">
      <c r="A92" t="s">
        <v>95</v>
      </c>
      <c r="B92" t="s">
        <v>8</v>
      </c>
      <c r="C92">
        <v>33</v>
      </c>
      <c r="D92" t="s">
        <v>16</v>
      </c>
      <c r="E92" s="6">
        <v>44312</v>
      </c>
      <c r="F92" t="s">
        <v>12</v>
      </c>
      <c r="G92" s="18">
        <v>75280</v>
      </c>
      <c r="H92" t="s">
        <v>207</v>
      </c>
      <c r="I92" s="9">
        <f ca="1">(TODAY()-all_staff[[#This Row],[Date Joined]])/365</f>
        <v>5.2410958904109588</v>
      </c>
      <c r="J92" s="18">
        <f ca="1">ROUNDUP(IF(all_staff[[#This Row],[Tenure]]&gt;2,3%,2%)*all_staff[[#This Row],[Salary]],0)</f>
        <v>2259</v>
      </c>
    </row>
    <row r="93" spans="1:10" x14ac:dyDescent="0.35">
      <c r="A93" t="s">
        <v>111</v>
      </c>
      <c r="B93" t="s">
        <v>8</v>
      </c>
      <c r="C93">
        <v>42</v>
      </c>
      <c r="D93" t="s">
        <v>10</v>
      </c>
      <c r="E93" s="6">
        <v>44718</v>
      </c>
      <c r="F93" t="s">
        <v>9</v>
      </c>
      <c r="G93" s="18">
        <v>75000</v>
      </c>
      <c r="H93" t="s">
        <v>205</v>
      </c>
      <c r="I93" s="9">
        <f ca="1">(TODAY()-all_staff[[#This Row],[Date Joined]])/365</f>
        <v>4.1287671232876715</v>
      </c>
      <c r="J93" s="18">
        <f ca="1">ROUNDUP(IF(all_staff[[#This Row],[Tenure]]&gt;2,3%,2%)*all_staff[[#This Row],[Salary]],0)</f>
        <v>2250</v>
      </c>
    </row>
    <row r="94" spans="1:10" x14ac:dyDescent="0.35">
      <c r="A94" t="s">
        <v>7</v>
      </c>
      <c r="B94" t="s">
        <v>8</v>
      </c>
      <c r="C94">
        <v>42</v>
      </c>
      <c r="D94" t="s">
        <v>10</v>
      </c>
      <c r="E94" s="6">
        <v>44779</v>
      </c>
      <c r="F94" t="s">
        <v>9</v>
      </c>
      <c r="G94" s="18">
        <v>75000</v>
      </c>
      <c r="H94" t="s">
        <v>207</v>
      </c>
      <c r="I94" s="9">
        <f ca="1">(TODAY()-all_staff[[#This Row],[Date Joined]])/365</f>
        <v>3.9616438356164383</v>
      </c>
      <c r="J94" s="18">
        <f ca="1">ROUNDUP(IF(all_staff[[#This Row],[Tenure]]&gt;2,3%,2%)*all_staff[[#This Row],[Salary]],0)</f>
        <v>2250</v>
      </c>
    </row>
    <row r="95" spans="1:10" x14ac:dyDescent="0.35">
      <c r="A95" t="s">
        <v>115</v>
      </c>
      <c r="B95" t="s">
        <v>15</v>
      </c>
      <c r="C95">
        <v>33</v>
      </c>
      <c r="D95" t="s">
        <v>16</v>
      </c>
      <c r="E95" s="6">
        <v>44324</v>
      </c>
      <c r="F95" t="s">
        <v>19</v>
      </c>
      <c r="G95" s="18">
        <v>74550</v>
      </c>
      <c r="H95" t="s">
        <v>205</v>
      </c>
      <c r="I95" s="9">
        <f ca="1">(TODAY()-all_staff[[#This Row],[Date Joined]])/365</f>
        <v>5.2082191780821914</v>
      </c>
      <c r="J95" s="18">
        <f ca="1">ROUNDUP(IF(all_staff[[#This Row],[Tenure]]&gt;2,3%,2%)*all_staff[[#This Row],[Salary]],0)</f>
        <v>2237</v>
      </c>
    </row>
    <row r="96" spans="1:10" x14ac:dyDescent="0.35">
      <c r="A96" t="s">
        <v>18</v>
      </c>
      <c r="B96" t="s">
        <v>15</v>
      </c>
      <c r="C96">
        <v>33</v>
      </c>
      <c r="D96" t="s">
        <v>16</v>
      </c>
      <c r="E96" s="6">
        <v>44385</v>
      </c>
      <c r="F96" t="s">
        <v>19</v>
      </c>
      <c r="G96" s="18">
        <v>74550</v>
      </c>
      <c r="H96" t="s">
        <v>207</v>
      </c>
      <c r="I96" s="9">
        <f ca="1">(TODAY()-all_staff[[#This Row],[Date Joined]])/365</f>
        <v>5.0410958904109586</v>
      </c>
      <c r="J96" s="18">
        <f ca="1">ROUNDUP(IF(all_staff[[#This Row],[Tenure]]&gt;2,3%,2%)*all_staff[[#This Row],[Salary]],0)</f>
        <v>2237</v>
      </c>
    </row>
    <row r="97" spans="1:10" x14ac:dyDescent="0.35">
      <c r="A97" t="s">
        <v>187</v>
      </c>
      <c r="B97" t="s">
        <v>15</v>
      </c>
      <c r="C97">
        <v>36</v>
      </c>
      <c r="D97" t="s">
        <v>16</v>
      </c>
      <c r="E97" s="6">
        <v>44272</v>
      </c>
      <c r="F97" t="s">
        <v>21</v>
      </c>
      <c r="G97" s="18">
        <v>71380</v>
      </c>
      <c r="H97" t="s">
        <v>205</v>
      </c>
      <c r="I97" s="9">
        <f ca="1">(TODAY()-all_staff[[#This Row],[Date Joined]])/365</f>
        <v>5.3506849315068497</v>
      </c>
      <c r="J97" s="18">
        <f ca="1">ROUNDUP(IF(all_staff[[#This Row],[Tenure]]&gt;2,3%,2%)*all_staff[[#This Row],[Salary]],0)</f>
        <v>2142</v>
      </c>
    </row>
    <row r="98" spans="1:10" x14ac:dyDescent="0.35">
      <c r="A98" t="s">
        <v>94</v>
      </c>
      <c r="B98" t="s">
        <v>15</v>
      </c>
      <c r="C98">
        <v>36</v>
      </c>
      <c r="D98" t="s">
        <v>16</v>
      </c>
      <c r="E98" s="6">
        <v>44333</v>
      </c>
      <c r="F98" t="s">
        <v>21</v>
      </c>
      <c r="G98" s="18">
        <v>71380</v>
      </c>
      <c r="H98" t="s">
        <v>207</v>
      </c>
      <c r="I98" s="9">
        <f ca="1">(TODAY()-all_staff[[#This Row],[Date Joined]])/365</f>
        <v>5.183561643835616</v>
      </c>
      <c r="J98" s="18">
        <f ca="1">ROUNDUP(IF(all_staff[[#This Row],[Tenure]]&gt;2,3%,2%)*all_staff[[#This Row],[Salary]],0)</f>
        <v>2142</v>
      </c>
    </row>
    <row r="99" spans="1:10" x14ac:dyDescent="0.35">
      <c r="A99" t="s">
        <v>162</v>
      </c>
      <c r="B99" t="s">
        <v>15</v>
      </c>
      <c r="C99">
        <v>46</v>
      </c>
      <c r="D99" t="s">
        <v>16</v>
      </c>
      <c r="E99" s="6">
        <v>44697</v>
      </c>
      <c r="F99" t="s">
        <v>9</v>
      </c>
      <c r="G99" s="18">
        <v>70610</v>
      </c>
      <c r="H99" t="s">
        <v>205</v>
      </c>
      <c r="I99" s="9">
        <f ca="1">(TODAY()-all_staff[[#This Row],[Date Joined]])/365</f>
        <v>4.1863013698630134</v>
      </c>
      <c r="J99" s="18">
        <f ca="1">ROUNDUP(IF(all_staff[[#This Row],[Tenure]]&gt;2,3%,2%)*all_staff[[#This Row],[Salary]],0)</f>
        <v>2119</v>
      </c>
    </row>
    <row r="100" spans="1:10" x14ac:dyDescent="0.35">
      <c r="A100" t="s">
        <v>70</v>
      </c>
      <c r="B100" t="s">
        <v>15</v>
      </c>
      <c r="C100">
        <v>46</v>
      </c>
      <c r="D100" t="s">
        <v>16</v>
      </c>
      <c r="E100" s="6">
        <v>44758</v>
      </c>
      <c r="F100" t="s">
        <v>9</v>
      </c>
      <c r="G100" s="18">
        <v>70610</v>
      </c>
      <c r="H100" t="s">
        <v>207</v>
      </c>
      <c r="I100" s="9">
        <f ca="1">(TODAY()-all_staff[[#This Row],[Date Joined]])/365</f>
        <v>4.0191780821917806</v>
      </c>
      <c r="J100" s="18">
        <f ca="1">ROUNDUP(IF(all_staff[[#This Row],[Tenure]]&gt;2,3%,2%)*all_staff[[#This Row],[Salary]],0)</f>
        <v>2119</v>
      </c>
    </row>
    <row r="101" spans="1:10" x14ac:dyDescent="0.35">
      <c r="A101" t="s">
        <v>183</v>
      </c>
      <c r="B101" t="s">
        <v>15</v>
      </c>
      <c r="C101">
        <v>42</v>
      </c>
      <c r="D101" t="s">
        <v>24</v>
      </c>
      <c r="E101" s="6">
        <v>44670</v>
      </c>
      <c r="F101" t="s">
        <v>21</v>
      </c>
      <c r="G101" s="18">
        <v>70270</v>
      </c>
      <c r="H101" t="s">
        <v>205</v>
      </c>
      <c r="I101" s="9">
        <f ca="1">(TODAY()-all_staff[[#This Row],[Date Joined]])/365</f>
        <v>4.2602739726027394</v>
      </c>
      <c r="J101" s="18">
        <f ca="1">ROUNDUP(IF(all_staff[[#This Row],[Tenure]]&gt;2,3%,2%)*all_staff[[#This Row],[Salary]],0)</f>
        <v>2109</v>
      </c>
    </row>
    <row r="102" spans="1:10" x14ac:dyDescent="0.35">
      <c r="A102" t="s">
        <v>90</v>
      </c>
      <c r="B102" t="s">
        <v>15</v>
      </c>
      <c r="C102">
        <v>42</v>
      </c>
      <c r="D102" t="s">
        <v>24</v>
      </c>
      <c r="E102" s="6">
        <v>44731</v>
      </c>
      <c r="F102" t="s">
        <v>21</v>
      </c>
      <c r="G102" s="18">
        <v>70270</v>
      </c>
      <c r="H102" t="s">
        <v>207</v>
      </c>
      <c r="I102" s="9">
        <f ca="1">(TODAY()-all_staff[[#This Row],[Date Joined]])/365</f>
        <v>4.0931506849315067</v>
      </c>
      <c r="J102" s="18">
        <f ca="1">ROUNDUP(IF(all_staff[[#This Row],[Tenure]]&gt;2,3%,2%)*all_staff[[#This Row],[Salary]],0)</f>
        <v>2109</v>
      </c>
    </row>
    <row r="103" spans="1:10" x14ac:dyDescent="0.35">
      <c r="A103" t="s">
        <v>159</v>
      </c>
      <c r="B103" t="s">
        <v>15</v>
      </c>
      <c r="C103">
        <v>30</v>
      </c>
      <c r="D103" t="s">
        <v>16</v>
      </c>
      <c r="E103" s="6">
        <v>44789</v>
      </c>
      <c r="F103" t="s">
        <v>12</v>
      </c>
      <c r="G103" s="18">
        <v>69710</v>
      </c>
      <c r="H103" t="s">
        <v>205</v>
      </c>
      <c r="I103" s="9">
        <f ca="1">(TODAY()-all_staff[[#This Row],[Date Joined]])/365</f>
        <v>3.9342465753424656</v>
      </c>
      <c r="J103" s="18">
        <f ca="1">ROUNDUP(IF(all_staff[[#This Row],[Tenure]]&gt;2,3%,2%)*all_staff[[#This Row],[Salary]],0)</f>
        <v>2092</v>
      </c>
    </row>
    <row r="104" spans="1:10" x14ac:dyDescent="0.35">
      <c r="A104" t="s">
        <v>67</v>
      </c>
      <c r="B104" t="s">
        <v>15</v>
      </c>
      <c r="C104">
        <v>30</v>
      </c>
      <c r="D104" t="s">
        <v>16</v>
      </c>
      <c r="E104" s="6">
        <v>44850</v>
      </c>
      <c r="F104" t="s">
        <v>12</v>
      </c>
      <c r="G104" s="18">
        <v>69710</v>
      </c>
      <c r="H104" t="s">
        <v>207</v>
      </c>
      <c r="I104" s="9">
        <f ca="1">(TODAY()-all_staff[[#This Row],[Date Joined]])/365</f>
        <v>3.7671232876712328</v>
      </c>
      <c r="J104" s="18">
        <f ca="1">ROUNDUP(IF(all_staff[[#This Row],[Tenure]]&gt;2,3%,2%)*all_staff[[#This Row],[Salary]],0)</f>
        <v>2092</v>
      </c>
    </row>
    <row r="105" spans="1:10" x14ac:dyDescent="0.35">
      <c r="A105" t="s">
        <v>119</v>
      </c>
      <c r="B105" t="s">
        <v>15</v>
      </c>
      <c r="C105">
        <v>30</v>
      </c>
      <c r="D105" t="s">
        <v>16</v>
      </c>
      <c r="E105" s="6">
        <v>44214</v>
      </c>
      <c r="F105" t="s">
        <v>12</v>
      </c>
      <c r="G105" s="18">
        <v>69120</v>
      </c>
      <c r="H105" t="s">
        <v>205</v>
      </c>
      <c r="I105" s="9">
        <f ca="1">(TODAY()-all_staff[[#This Row],[Date Joined]])/365</f>
        <v>5.5095890410958903</v>
      </c>
      <c r="J105" s="18">
        <f ca="1">ROUNDUP(IF(all_staff[[#This Row],[Tenure]]&gt;2,3%,2%)*all_staff[[#This Row],[Salary]],0)</f>
        <v>2074</v>
      </c>
    </row>
    <row r="106" spans="1:10" x14ac:dyDescent="0.35">
      <c r="A106" t="s">
        <v>25</v>
      </c>
      <c r="B106" t="s">
        <v>15</v>
      </c>
      <c r="C106">
        <v>30</v>
      </c>
      <c r="D106" t="s">
        <v>16</v>
      </c>
      <c r="E106" s="6">
        <v>44273</v>
      </c>
      <c r="F106" t="s">
        <v>12</v>
      </c>
      <c r="G106" s="18">
        <v>69120</v>
      </c>
      <c r="H106" t="s">
        <v>207</v>
      </c>
      <c r="I106" s="9">
        <f ca="1">(TODAY()-all_staff[[#This Row],[Date Joined]])/365</f>
        <v>5.3479452054794523</v>
      </c>
      <c r="J106" s="18">
        <f ca="1">ROUNDUP(IF(all_staff[[#This Row],[Tenure]]&gt;2,3%,2%)*all_staff[[#This Row],[Salary]],0)</f>
        <v>2074</v>
      </c>
    </row>
    <row r="107" spans="1:10" x14ac:dyDescent="0.35">
      <c r="A107" t="s">
        <v>190</v>
      </c>
      <c r="B107" t="s">
        <v>15</v>
      </c>
      <c r="C107">
        <v>37</v>
      </c>
      <c r="D107" t="s">
        <v>16</v>
      </c>
      <c r="E107" s="6">
        <v>44640</v>
      </c>
      <c r="F107" t="s">
        <v>12</v>
      </c>
      <c r="G107" s="18">
        <v>69070</v>
      </c>
      <c r="H107" t="s">
        <v>205</v>
      </c>
      <c r="I107" s="9">
        <f ca="1">(TODAY()-all_staff[[#This Row],[Date Joined]])/365</f>
        <v>4.3424657534246576</v>
      </c>
      <c r="J107" s="18">
        <f ca="1">ROUNDUP(IF(all_staff[[#This Row],[Tenure]]&gt;2,3%,2%)*all_staff[[#This Row],[Salary]],0)</f>
        <v>2073</v>
      </c>
    </row>
    <row r="108" spans="1:10" x14ac:dyDescent="0.35">
      <c r="A108" t="s">
        <v>97</v>
      </c>
      <c r="B108" t="s">
        <v>15</v>
      </c>
      <c r="C108">
        <v>37</v>
      </c>
      <c r="D108" t="s">
        <v>16</v>
      </c>
      <c r="E108" s="6">
        <v>44701</v>
      </c>
      <c r="F108" t="s">
        <v>12</v>
      </c>
      <c r="G108" s="18">
        <v>69070</v>
      </c>
      <c r="H108" t="s">
        <v>207</v>
      </c>
      <c r="I108" s="9">
        <f ca="1">(TODAY()-all_staff[[#This Row],[Date Joined]])/365</f>
        <v>4.1753424657534248</v>
      </c>
      <c r="J108" s="18">
        <f ca="1">ROUNDUP(IF(all_staff[[#This Row],[Tenure]]&gt;2,3%,2%)*all_staff[[#This Row],[Salary]],0)</f>
        <v>2073</v>
      </c>
    </row>
    <row r="109" spans="1:10" x14ac:dyDescent="0.35">
      <c r="A109" t="s">
        <v>184</v>
      </c>
      <c r="B109" t="s">
        <v>8</v>
      </c>
      <c r="C109">
        <v>20</v>
      </c>
      <c r="D109" t="s">
        <v>24</v>
      </c>
      <c r="E109" s="6">
        <v>44476</v>
      </c>
      <c r="F109" t="s">
        <v>19</v>
      </c>
      <c r="G109" s="18">
        <v>68900</v>
      </c>
      <c r="H109" t="s">
        <v>205</v>
      </c>
      <c r="I109" s="9">
        <f ca="1">(TODAY()-all_staff[[#This Row],[Date Joined]])/365</f>
        <v>4.7917808219178086</v>
      </c>
      <c r="J109" s="18">
        <f ca="1">ROUNDUP(IF(all_staff[[#This Row],[Tenure]]&gt;2,3%,2%)*all_staff[[#This Row],[Salary]],0)</f>
        <v>2067</v>
      </c>
    </row>
    <row r="110" spans="1:10" x14ac:dyDescent="0.35">
      <c r="A110" t="s">
        <v>91</v>
      </c>
      <c r="B110" t="s">
        <v>8</v>
      </c>
      <c r="C110">
        <v>20</v>
      </c>
      <c r="D110" t="s">
        <v>24</v>
      </c>
      <c r="E110" s="6">
        <v>44537</v>
      </c>
      <c r="F110" t="s">
        <v>19</v>
      </c>
      <c r="G110" s="18">
        <v>68900</v>
      </c>
      <c r="H110" t="s">
        <v>207</v>
      </c>
      <c r="I110" s="9">
        <f ca="1">(TODAY()-all_staff[[#This Row],[Date Joined]])/365</f>
        <v>4.624657534246575</v>
      </c>
      <c r="J110" s="18">
        <f ca="1">ROUNDUP(IF(all_staff[[#This Row],[Tenure]]&gt;2,3%,2%)*all_staff[[#This Row],[Salary]],0)</f>
        <v>2067</v>
      </c>
    </row>
    <row r="111" spans="1:10" x14ac:dyDescent="0.35">
      <c r="A111" t="s">
        <v>138</v>
      </c>
      <c r="B111" t="s">
        <v>15</v>
      </c>
      <c r="C111">
        <v>30</v>
      </c>
      <c r="D111" t="s">
        <v>16</v>
      </c>
      <c r="E111" s="6">
        <v>44640</v>
      </c>
      <c r="F111" t="s">
        <v>9</v>
      </c>
      <c r="G111" s="18">
        <v>67950</v>
      </c>
      <c r="H111" t="s">
        <v>205</v>
      </c>
      <c r="I111" s="9">
        <f ca="1">(TODAY()-all_staff[[#This Row],[Date Joined]])/365</f>
        <v>4.3424657534246576</v>
      </c>
      <c r="J111" s="18">
        <f ca="1">ROUNDUP(IF(all_staff[[#This Row],[Tenure]]&gt;2,3%,2%)*all_staff[[#This Row],[Salary]],0)</f>
        <v>2039</v>
      </c>
    </row>
    <row r="112" spans="1:10" x14ac:dyDescent="0.35">
      <c r="A112" t="s">
        <v>45</v>
      </c>
      <c r="B112" t="s">
        <v>15</v>
      </c>
      <c r="C112">
        <v>30</v>
      </c>
      <c r="D112" t="s">
        <v>16</v>
      </c>
      <c r="E112" s="6">
        <v>44701</v>
      </c>
      <c r="F112" t="s">
        <v>9</v>
      </c>
      <c r="G112" s="18">
        <v>67950</v>
      </c>
      <c r="H112" t="s">
        <v>207</v>
      </c>
      <c r="I112" s="9">
        <f ca="1">(TODAY()-all_staff[[#This Row],[Date Joined]])/365</f>
        <v>4.1753424657534248</v>
      </c>
      <c r="J112" s="18">
        <f ca="1">ROUNDUP(IF(all_staff[[#This Row],[Tenure]]&gt;2,3%,2%)*all_staff[[#This Row],[Salary]],0)</f>
        <v>2039</v>
      </c>
    </row>
    <row r="113" spans="1:10" x14ac:dyDescent="0.35">
      <c r="A113" t="s">
        <v>121</v>
      </c>
      <c r="B113" t="s">
        <v>8</v>
      </c>
      <c r="C113">
        <v>30</v>
      </c>
      <c r="D113" t="s">
        <v>24</v>
      </c>
      <c r="E113" s="6">
        <v>44328</v>
      </c>
      <c r="F113" t="s">
        <v>21</v>
      </c>
      <c r="G113" s="18">
        <v>67910</v>
      </c>
      <c r="H113" t="s">
        <v>205</v>
      </c>
      <c r="I113" s="9">
        <f ca="1">(TODAY()-all_staff[[#This Row],[Date Joined]])/365</f>
        <v>5.1972602739726028</v>
      </c>
      <c r="J113" s="18">
        <f ca="1">ROUNDUP(IF(all_staff[[#This Row],[Tenure]]&gt;2,3%,2%)*all_staff[[#This Row],[Salary]],0)</f>
        <v>2038</v>
      </c>
    </row>
    <row r="114" spans="1:10" x14ac:dyDescent="0.35">
      <c r="A114" t="s">
        <v>27</v>
      </c>
      <c r="B114" t="s">
        <v>8</v>
      </c>
      <c r="C114">
        <v>30</v>
      </c>
      <c r="D114" t="s">
        <v>24</v>
      </c>
      <c r="E114" s="6">
        <v>44389</v>
      </c>
      <c r="F114" t="s">
        <v>21</v>
      </c>
      <c r="G114" s="18">
        <v>67910</v>
      </c>
      <c r="H114" t="s">
        <v>207</v>
      </c>
      <c r="I114" s="9">
        <f ca="1">(TODAY()-all_staff[[#This Row],[Date Joined]])/365</f>
        <v>5.0301369863013701</v>
      </c>
      <c r="J114" s="18">
        <f ca="1">ROUNDUP(IF(all_staff[[#This Row],[Tenure]]&gt;2,3%,2%)*all_staff[[#This Row],[Salary]],0)</f>
        <v>2038</v>
      </c>
    </row>
    <row r="115" spans="1:10" x14ac:dyDescent="0.35">
      <c r="A115" t="s">
        <v>126</v>
      </c>
      <c r="B115" t="s">
        <v>8</v>
      </c>
      <c r="C115">
        <v>21</v>
      </c>
      <c r="D115" t="s">
        <v>16</v>
      </c>
      <c r="E115" s="6">
        <v>44256</v>
      </c>
      <c r="F115" t="s">
        <v>21</v>
      </c>
      <c r="G115" s="18">
        <v>65920</v>
      </c>
      <c r="H115" t="s">
        <v>205</v>
      </c>
      <c r="I115" s="9">
        <f ca="1">(TODAY()-all_staff[[#This Row],[Date Joined]])/365</f>
        <v>5.3945205479452056</v>
      </c>
      <c r="J115" s="18">
        <f ca="1">ROUNDUP(IF(all_staff[[#This Row],[Tenure]]&gt;2,3%,2%)*all_staff[[#This Row],[Salary]],0)</f>
        <v>1978</v>
      </c>
    </row>
    <row r="116" spans="1:10" x14ac:dyDescent="0.35">
      <c r="A116" t="s">
        <v>32</v>
      </c>
      <c r="B116" t="s">
        <v>8</v>
      </c>
      <c r="C116">
        <v>21</v>
      </c>
      <c r="D116" t="s">
        <v>16</v>
      </c>
      <c r="E116" s="6">
        <v>44317</v>
      </c>
      <c r="F116" t="s">
        <v>21</v>
      </c>
      <c r="G116" s="18">
        <v>65920</v>
      </c>
      <c r="H116" t="s">
        <v>207</v>
      </c>
      <c r="I116" s="9">
        <f ca="1">(TODAY()-all_staff[[#This Row],[Date Joined]])/365</f>
        <v>5.2273972602739729</v>
      </c>
      <c r="J116" s="18">
        <f ca="1">ROUNDUP(IF(all_staff[[#This Row],[Tenure]]&gt;2,3%,2%)*all_staff[[#This Row],[Salary]],0)</f>
        <v>1978</v>
      </c>
    </row>
    <row r="117" spans="1:10" x14ac:dyDescent="0.35">
      <c r="A117" t="s">
        <v>168</v>
      </c>
      <c r="B117" t="s">
        <v>15</v>
      </c>
      <c r="C117">
        <v>25</v>
      </c>
      <c r="D117" t="s">
        <v>16</v>
      </c>
      <c r="E117" s="6">
        <v>44322</v>
      </c>
      <c r="F117" t="s">
        <v>19</v>
      </c>
      <c r="G117" s="18">
        <v>65700</v>
      </c>
      <c r="H117" t="s">
        <v>205</v>
      </c>
      <c r="I117" s="9">
        <f ca="1">(TODAY()-all_staff[[#This Row],[Date Joined]])/365</f>
        <v>5.2136986301369861</v>
      </c>
      <c r="J117" s="18">
        <f ca="1">ROUNDUP(IF(all_staff[[#This Row],[Tenure]]&gt;2,3%,2%)*all_staff[[#This Row],[Salary]],0)</f>
        <v>1971</v>
      </c>
    </row>
    <row r="118" spans="1:10" x14ac:dyDescent="0.35">
      <c r="A118" t="s">
        <v>76</v>
      </c>
      <c r="B118" t="s">
        <v>15</v>
      </c>
      <c r="C118">
        <v>25</v>
      </c>
      <c r="D118" t="s">
        <v>16</v>
      </c>
      <c r="E118" s="6">
        <v>44383</v>
      </c>
      <c r="F118" t="s">
        <v>19</v>
      </c>
      <c r="G118" s="18">
        <v>65700</v>
      </c>
      <c r="H118" t="s">
        <v>207</v>
      </c>
      <c r="I118" s="9">
        <f ca="1">(TODAY()-all_staff[[#This Row],[Date Joined]])/365</f>
        <v>5.0465753424657533</v>
      </c>
      <c r="J118" s="18">
        <f ca="1">ROUNDUP(IF(all_staff[[#This Row],[Tenure]]&gt;2,3%,2%)*all_staff[[#This Row],[Salary]],0)</f>
        <v>1971</v>
      </c>
    </row>
    <row r="119" spans="1:10" x14ac:dyDescent="0.35">
      <c r="A119" t="s">
        <v>186</v>
      </c>
      <c r="B119" t="s">
        <v>8</v>
      </c>
      <c r="C119">
        <v>33</v>
      </c>
      <c r="D119" t="s">
        <v>16</v>
      </c>
      <c r="E119" s="6">
        <v>44006</v>
      </c>
      <c r="F119" t="s">
        <v>21</v>
      </c>
      <c r="G119" s="18">
        <v>65360</v>
      </c>
      <c r="H119" t="s">
        <v>205</v>
      </c>
      <c r="I119" s="9">
        <f ca="1">(TODAY()-all_staff[[#This Row],[Date Joined]])/365</f>
        <v>6.0794520547945208</v>
      </c>
      <c r="J119" s="18">
        <f ca="1">ROUNDUP(IF(all_staff[[#This Row],[Tenure]]&gt;2,3%,2%)*all_staff[[#This Row],[Salary]],0)</f>
        <v>1961</v>
      </c>
    </row>
    <row r="120" spans="1:10" x14ac:dyDescent="0.35">
      <c r="A120" t="s">
        <v>93</v>
      </c>
      <c r="B120" t="s">
        <v>8</v>
      </c>
      <c r="C120">
        <v>33</v>
      </c>
      <c r="D120" t="s">
        <v>16</v>
      </c>
      <c r="E120" s="6">
        <v>44067</v>
      </c>
      <c r="F120" t="s">
        <v>21</v>
      </c>
      <c r="G120" s="18">
        <v>65360</v>
      </c>
      <c r="H120" t="s">
        <v>207</v>
      </c>
      <c r="I120" s="9">
        <f ca="1">(TODAY()-all_staff[[#This Row],[Date Joined]])/365</f>
        <v>5.912328767123288</v>
      </c>
      <c r="J120" s="18">
        <f ca="1">ROUNDUP(IF(all_staff[[#This Row],[Tenure]]&gt;2,3%,2%)*all_staff[[#This Row],[Salary]],0)</f>
        <v>1961</v>
      </c>
    </row>
    <row r="121" spans="1:10" x14ac:dyDescent="0.35">
      <c r="A121" t="s">
        <v>116</v>
      </c>
      <c r="B121" t="s">
        <v>206</v>
      </c>
      <c r="C121">
        <v>30</v>
      </c>
      <c r="D121" t="s">
        <v>16</v>
      </c>
      <c r="E121" s="6">
        <v>44535</v>
      </c>
      <c r="F121" t="s">
        <v>21</v>
      </c>
      <c r="G121" s="18">
        <v>64000</v>
      </c>
      <c r="H121" t="s">
        <v>205</v>
      </c>
      <c r="I121" s="9">
        <f ca="1">(TODAY()-all_staff[[#This Row],[Date Joined]])/365</f>
        <v>4.6301369863013697</v>
      </c>
      <c r="J121" s="18">
        <f ca="1">ROUNDUP(IF(all_staff[[#This Row],[Tenure]]&gt;2,3%,2%)*all_staff[[#This Row],[Salary]],0)</f>
        <v>1920</v>
      </c>
    </row>
    <row r="122" spans="1:10" x14ac:dyDescent="0.35">
      <c r="A122" t="s">
        <v>20</v>
      </c>
      <c r="B122" t="s">
        <v>206</v>
      </c>
      <c r="C122">
        <v>30</v>
      </c>
      <c r="D122" t="s">
        <v>16</v>
      </c>
      <c r="E122" s="6">
        <v>44597</v>
      </c>
      <c r="F122" t="s">
        <v>21</v>
      </c>
      <c r="G122" s="18">
        <v>64000</v>
      </c>
      <c r="H122" t="s">
        <v>207</v>
      </c>
      <c r="I122" s="9">
        <f ca="1">(TODAY()-all_staff[[#This Row],[Date Joined]])/365</f>
        <v>4.4602739726027396</v>
      </c>
      <c r="J122" s="18">
        <f ca="1">ROUNDUP(IF(all_staff[[#This Row],[Tenure]]&gt;2,3%,2%)*all_staff[[#This Row],[Salary]],0)</f>
        <v>1920</v>
      </c>
    </row>
    <row r="123" spans="1:10" x14ac:dyDescent="0.35">
      <c r="A123" t="s">
        <v>153</v>
      </c>
      <c r="B123" t="s">
        <v>8</v>
      </c>
      <c r="C123">
        <v>24</v>
      </c>
      <c r="D123" t="s">
        <v>16</v>
      </c>
      <c r="E123" s="6">
        <v>44087</v>
      </c>
      <c r="F123" t="s">
        <v>12</v>
      </c>
      <c r="G123" s="18">
        <v>62780</v>
      </c>
      <c r="H123" t="s">
        <v>205</v>
      </c>
      <c r="I123" s="9">
        <f ca="1">(TODAY()-all_staff[[#This Row],[Date Joined]])/365</f>
        <v>5.8575342465753426</v>
      </c>
      <c r="J123" s="18">
        <f ca="1">ROUNDUP(IF(all_staff[[#This Row],[Tenure]]&gt;2,3%,2%)*all_staff[[#This Row],[Salary]],0)</f>
        <v>1884</v>
      </c>
    </row>
    <row r="124" spans="1:10" x14ac:dyDescent="0.35">
      <c r="A124" t="s">
        <v>61</v>
      </c>
      <c r="B124" t="s">
        <v>8</v>
      </c>
      <c r="C124">
        <v>24</v>
      </c>
      <c r="D124" t="s">
        <v>16</v>
      </c>
      <c r="E124" s="6">
        <v>44148</v>
      </c>
      <c r="F124" t="s">
        <v>12</v>
      </c>
      <c r="G124" s="18">
        <v>62780</v>
      </c>
      <c r="H124" t="s">
        <v>207</v>
      </c>
      <c r="I124" s="9">
        <f ca="1">(TODAY()-all_staff[[#This Row],[Date Joined]])/365</f>
        <v>5.6904109589041099</v>
      </c>
      <c r="J124" s="18">
        <f ca="1">ROUNDUP(IF(all_staff[[#This Row],[Tenure]]&gt;2,3%,2%)*all_staff[[#This Row],[Salary]],0)</f>
        <v>1884</v>
      </c>
    </row>
    <row r="125" spans="1:10" x14ac:dyDescent="0.35">
      <c r="A125" t="s">
        <v>131</v>
      </c>
      <c r="B125" t="s">
        <v>15</v>
      </c>
      <c r="C125">
        <v>30</v>
      </c>
      <c r="D125" t="s">
        <v>16</v>
      </c>
      <c r="E125" s="6">
        <v>44607</v>
      </c>
      <c r="F125" t="s">
        <v>9</v>
      </c>
      <c r="G125" s="18">
        <v>60570</v>
      </c>
      <c r="H125" t="s">
        <v>205</v>
      </c>
      <c r="I125" s="9">
        <f ca="1">(TODAY()-all_staff[[#This Row],[Date Joined]])/365</f>
        <v>4.4328767123287669</v>
      </c>
      <c r="J125" s="18">
        <f ca="1">ROUNDUP(IF(all_staff[[#This Row],[Tenure]]&gt;2,3%,2%)*all_staff[[#This Row],[Salary]],0)</f>
        <v>1818</v>
      </c>
    </row>
    <row r="126" spans="1:10" x14ac:dyDescent="0.35">
      <c r="A126" t="s">
        <v>37</v>
      </c>
      <c r="B126" t="s">
        <v>15</v>
      </c>
      <c r="C126">
        <v>30</v>
      </c>
      <c r="D126" t="s">
        <v>16</v>
      </c>
      <c r="E126" s="6">
        <v>44666</v>
      </c>
      <c r="F126" t="s">
        <v>9</v>
      </c>
      <c r="G126" s="18">
        <v>60570</v>
      </c>
      <c r="H126" t="s">
        <v>207</v>
      </c>
      <c r="I126" s="9">
        <f ca="1">(TODAY()-all_staff[[#This Row],[Date Joined]])/365</f>
        <v>4.2712328767123289</v>
      </c>
      <c r="J126" s="18">
        <f ca="1">ROUNDUP(IF(all_staff[[#This Row],[Tenure]]&gt;2,3%,2%)*all_staff[[#This Row],[Salary]],0)</f>
        <v>1818</v>
      </c>
    </row>
    <row r="127" spans="1:10" x14ac:dyDescent="0.35">
      <c r="A127" t="s">
        <v>132</v>
      </c>
      <c r="B127" t="s">
        <v>8</v>
      </c>
      <c r="C127">
        <v>34</v>
      </c>
      <c r="D127" t="s">
        <v>16</v>
      </c>
      <c r="E127" s="6">
        <v>44550</v>
      </c>
      <c r="F127" t="s">
        <v>21</v>
      </c>
      <c r="G127" s="18">
        <v>60130</v>
      </c>
      <c r="H127" t="s">
        <v>205</v>
      </c>
      <c r="I127" s="9">
        <f ca="1">(TODAY()-all_staff[[#This Row],[Date Joined]])/365</f>
        <v>4.5890410958904111</v>
      </c>
      <c r="J127" s="18">
        <f ca="1">ROUNDUP(IF(all_staff[[#This Row],[Tenure]]&gt;2,3%,2%)*all_staff[[#This Row],[Salary]],0)</f>
        <v>1804</v>
      </c>
    </row>
    <row r="128" spans="1:10" x14ac:dyDescent="0.35">
      <c r="A128" t="s">
        <v>38</v>
      </c>
      <c r="B128" t="s">
        <v>8</v>
      </c>
      <c r="C128">
        <v>34</v>
      </c>
      <c r="D128" t="s">
        <v>16</v>
      </c>
      <c r="E128" s="6">
        <v>44612</v>
      </c>
      <c r="F128" t="s">
        <v>21</v>
      </c>
      <c r="G128" s="18">
        <v>60130</v>
      </c>
      <c r="H128" t="s">
        <v>207</v>
      </c>
      <c r="I128" s="9">
        <f ca="1">(TODAY()-all_staff[[#This Row],[Date Joined]])/365</f>
        <v>4.419178082191781</v>
      </c>
      <c r="J128" s="18">
        <f ca="1">ROUNDUP(IF(all_staff[[#This Row],[Tenure]]&gt;2,3%,2%)*all_staff[[#This Row],[Salary]],0)</f>
        <v>1804</v>
      </c>
    </row>
    <row r="129" spans="1:10" x14ac:dyDescent="0.35">
      <c r="A129" t="s">
        <v>171</v>
      </c>
      <c r="B129" t="s">
        <v>15</v>
      </c>
      <c r="C129">
        <v>33</v>
      </c>
      <c r="D129" t="s">
        <v>16</v>
      </c>
      <c r="E129" s="6">
        <v>44181</v>
      </c>
      <c r="F129" t="s">
        <v>21</v>
      </c>
      <c r="G129" s="18">
        <v>59430</v>
      </c>
      <c r="H129" t="s">
        <v>205</v>
      </c>
      <c r="I129" s="9">
        <f ca="1">(TODAY()-all_staff[[#This Row],[Date Joined]])/365</f>
        <v>5.6</v>
      </c>
      <c r="J129" s="18">
        <f ca="1">ROUNDUP(IF(all_staff[[#This Row],[Tenure]]&gt;2,3%,2%)*all_staff[[#This Row],[Salary]],0)</f>
        <v>1783</v>
      </c>
    </row>
    <row r="130" spans="1:10" x14ac:dyDescent="0.35">
      <c r="A130" t="s">
        <v>79</v>
      </c>
      <c r="B130" t="s">
        <v>15</v>
      </c>
      <c r="C130">
        <v>33</v>
      </c>
      <c r="D130" t="s">
        <v>16</v>
      </c>
      <c r="E130" s="6">
        <v>44243</v>
      </c>
      <c r="F130" t="s">
        <v>21</v>
      </c>
      <c r="G130" s="18">
        <v>59430</v>
      </c>
      <c r="H130" t="s">
        <v>207</v>
      </c>
      <c r="I130" s="9">
        <f ca="1">(TODAY()-all_staff[[#This Row],[Date Joined]])/365</f>
        <v>5.4301369863013695</v>
      </c>
      <c r="J130" s="18">
        <f ca="1">ROUNDUP(IF(all_staff[[#This Row],[Tenure]]&gt;2,3%,2%)*all_staff[[#This Row],[Salary]],0)</f>
        <v>1783</v>
      </c>
    </row>
    <row r="131" spans="1:10" x14ac:dyDescent="0.35">
      <c r="A131" t="s">
        <v>193</v>
      </c>
      <c r="B131" t="s">
        <v>15</v>
      </c>
      <c r="C131">
        <v>19</v>
      </c>
      <c r="D131" t="s">
        <v>16</v>
      </c>
      <c r="E131" s="6">
        <v>44218</v>
      </c>
      <c r="F131" t="s">
        <v>9</v>
      </c>
      <c r="G131" s="18">
        <v>58960</v>
      </c>
      <c r="H131" t="s">
        <v>205</v>
      </c>
      <c r="I131" s="9">
        <f ca="1">(TODAY()-all_staff[[#This Row],[Date Joined]])/365</f>
        <v>5.4986301369863018</v>
      </c>
      <c r="J131" s="18">
        <f ca="1">ROUNDUP(IF(all_staff[[#This Row],[Tenure]]&gt;2,3%,2%)*all_staff[[#This Row],[Salary]],0)</f>
        <v>1769</v>
      </c>
    </row>
    <row r="132" spans="1:10" x14ac:dyDescent="0.35">
      <c r="A132" t="s">
        <v>100</v>
      </c>
      <c r="B132" t="s">
        <v>15</v>
      </c>
      <c r="C132">
        <v>19</v>
      </c>
      <c r="D132" t="s">
        <v>16</v>
      </c>
      <c r="E132" s="6">
        <v>44277</v>
      </c>
      <c r="F132" t="s">
        <v>9</v>
      </c>
      <c r="G132" s="18">
        <v>58960</v>
      </c>
      <c r="H132" t="s">
        <v>207</v>
      </c>
      <c r="I132" s="9">
        <f ca="1">(TODAY()-all_staff[[#This Row],[Date Joined]])/365</f>
        <v>5.3369863013698629</v>
      </c>
      <c r="J132" s="18">
        <f ca="1">ROUNDUP(IF(all_staff[[#This Row],[Tenure]]&gt;2,3%,2%)*all_staff[[#This Row],[Salary]],0)</f>
        <v>1769</v>
      </c>
    </row>
    <row r="133" spans="1:10" x14ac:dyDescent="0.35">
      <c r="A133" t="s">
        <v>130</v>
      </c>
      <c r="B133" t="s">
        <v>8</v>
      </c>
      <c r="C133">
        <v>34</v>
      </c>
      <c r="D133" t="s">
        <v>16</v>
      </c>
      <c r="E133" s="6">
        <v>44594</v>
      </c>
      <c r="F133" t="s">
        <v>21</v>
      </c>
      <c r="G133" s="18">
        <v>58940</v>
      </c>
      <c r="H133" t="s">
        <v>205</v>
      </c>
      <c r="I133" s="9">
        <f ca="1">(TODAY()-all_staff[[#This Row],[Date Joined]])/365</f>
        <v>4.4684931506849317</v>
      </c>
      <c r="J133" s="18">
        <f ca="1">ROUNDUP(IF(all_staff[[#This Row],[Tenure]]&gt;2,3%,2%)*all_staff[[#This Row],[Salary]],0)</f>
        <v>1769</v>
      </c>
    </row>
    <row r="134" spans="1:10" x14ac:dyDescent="0.35">
      <c r="A134" t="s">
        <v>36</v>
      </c>
      <c r="B134" t="s">
        <v>8</v>
      </c>
      <c r="C134">
        <v>34</v>
      </c>
      <c r="D134" t="s">
        <v>16</v>
      </c>
      <c r="E134" s="6">
        <v>44653</v>
      </c>
      <c r="F134" t="s">
        <v>21</v>
      </c>
      <c r="G134" s="18">
        <v>58940</v>
      </c>
      <c r="H134" t="s">
        <v>207</v>
      </c>
      <c r="I134" s="9">
        <f ca="1">(TODAY()-all_staff[[#This Row],[Date Joined]])/365</f>
        <v>4.3068493150684928</v>
      </c>
      <c r="J134" s="18">
        <f ca="1">ROUNDUP(IF(all_staff[[#This Row],[Tenure]]&gt;2,3%,2%)*all_staff[[#This Row],[Salary]],0)</f>
        <v>1769</v>
      </c>
    </row>
    <row r="135" spans="1:10" x14ac:dyDescent="0.35">
      <c r="A135" t="s">
        <v>120</v>
      </c>
      <c r="B135" t="s">
        <v>8</v>
      </c>
      <c r="C135">
        <v>31</v>
      </c>
      <c r="D135" t="s">
        <v>16</v>
      </c>
      <c r="E135" s="6">
        <v>44604</v>
      </c>
      <c r="F135" t="s">
        <v>12</v>
      </c>
      <c r="G135" s="18">
        <v>58100</v>
      </c>
      <c r="H135" t="s">
        <v>205</v>
      </c>
      <c r="I135" s="9">
        <f ca="1">(TODAY()-all_staff[[#This Row],[Date Joined]])/365</f>
        <v>4.441095890410959</v>
      </c>
      <c r="J135" s="18">
        <f ca="1">ROUNDUP(IF(all_staff[[#This Row],[Tenure]]&gt;2,3%,2%)*all_staff[[#This Row],[Salary]],0)</f>
        <v>1743</v>
      </c>
    </row>
    <row r="136" spans="1:10" x14ac:dyDescent="0.35">
      <c r="A136" t="s">
        <v>26</v>
      </c>
      <c r="B136" t="s">
        <v>8</v>
      </c>
      <c r="C136">
        <v>31</v>
      </c>
      <c r="D136" t="s">
        <v>16</v>
      </c>
      <c r="E136" s="6">
        <v>44663</v>
      </c>
      <c r="F136" t="s">
        <v>12</v>
      </c>
      <c r="G136" s="18">
        <v>58100</v>
      </c>
      <c r="H136" t="s">
        <v>207</v>
      </c>
      <c r="I136" s="9">
        <f ca="1">(TODAY()-all_staff[[#This Row],[Date Joined]])/365</f>
        <v>4.279452054794521</v>
      </c>
      <c r="J136" s="18">
        <f ca="1">ROUNDUP(IF(all_staff[[#This Row],[Tenure]]&gt;2,3%,2%)*all_staff[[#This Row],[Salary]],0)</f>
        <v>1743</v>
      </c>
    </row>
    <row r="137" spans="1:10" x14ac:dyDescent="0.35">
      <c r="A137" t="s">
        <v>125</v>
      </c>
      <c r="B137" t="s">
        <v>15</v>
      </c>
      <c r="C137">
        <v>21</v>
      </c>
      <c r="D137" t="s">
        <v>16</v>
      </c>
      <c r="E137" s="6">
        <v>44701</v>
      </c>
      <c r="F137" t="s">
        <v>9</v>
      </c>
      <c r="G137" s="18">
        <v>57090</v>
      </c>
      <c r="H137" t="s">
        <v>205</v>
      </c>
      <c r="I137" s="9">
        <f ca="1">(TODAY()-all_staff[[#This Row],[Date Joined]])/365</f>
        <v>4.1753424657534248</v>
      </c>
      <c r="J137" s="18">
        <f ca="1">ROUNDUP(IF(all_staff[[#This Row],[Tenure]]&gt;2,3%,2%)*all_staff[[#This Row],[Salary]],0)</f>
        <v>1713</v>
      </c>
    </row>
    <row r="138" spans="1:10" x14ac:dyDescent="0.35">
      <c r="A138" t="s">
        <v>31</v>
      </c>
      <c r="B138" t="s">
        <v>15</v>
      </c>
      <c r="C138">
        <v>21</v>
      </c>
      <c r="D138" t="s">
        <v>16</v>
      </c>
      <c r="E138" s="6">
        <v>44762</v>
      </c>
      <c r="F138" t="s">
        <v>9</v>
      </c>
      <c r="G138" s="18">
        <v>57090</v>
      </c>
      <c r="H138" t="s">
        <v>207</v>
      </c>
      <c r="I138" s="9">
        <f ca="1">(TODAY()-all_staff[[#This Row],[Date Joined]])/365</f>
        <v>4.0082191780821921</v>
      </c>
      <c r="J138" s="18">
        <f ca="1">ROUNDUP(IF(all_staff[[#This Row],[Tenure]]&gt;2,3%,2%)*all_staff[[#This Row],[Salary]],0)</f>
        <v>1713</v>
      </c>
    </row>
    <row r="139" spans="1:10" x14ac:dyDescent="0.35">
      <c r="A139" t="s">
        <v>202</v>
      </c>
      <c r="B139" t="s">
        <v>8</v>
      </c>
      <c r="C139">
        <v>38</v>
      </c>
      <c r="D139" t="s">
        <v>13</v>
      </c>
      <c r="E139" s="6">
        <v>44268</v>
      </c>
      <c r="F139" t="s">
        <v>19</v>
      </c>
      <c r="G139" s="18">
        <v>56870</v>
      </c>
      <c r="H139" t="s">
        <v>205</v>
      </c>
      <c r="I139" s="9">
        <f ca="1">(TODAY()-all_staff[[#This Row],[Date Joined]])/365</f>
        <v>5.3616438356164382</v>
      </c>
      <c r="J139" s="18">
        <f ca="1">ROUNDUP(IF(all_staff[[#This Row],[Tenure]]&gt;2,3%,2%)*all_staff[[#This Row],[Salary]],0)</f>
        <v>1707</v>
      </c>
    </row>
    <row r="140" spans="1:10" x14ac:dyDescent="0.35">
      <c r="A140" t="s">
        <v>109</v>
      </c>
      <c r="B140" t="s">
        <v>8</v>
      </c>
      <c r="C140">
        <v>38</v>
      </c>
      <c r="D140" t="s">
        <v>13</v>
      </c>
      <c r="E140" s="6">
        <v>44329</v>
      </c>
      <c r="F140" t="s">
        <v>19</v>
      </c>
      <c r="G140" s="18">
        <v>56870</v>
      </c>
      <c r="H140" t="s">
        <v>207</v>
      </c>
      <c r="I140" s="9">
        <f ca="1">(TODAY()-all_staff[[#This Row],[Date Joined]])/365</f>
        <v>5.1945205479452055</v>
      </c>
      <c r="J140" s="18">
        <f ca="1">ROUNDUP(IF(all_staff[[#This Row],[Tenure]]&gt;2,3%,2%)*all_staff[[#This Row],[Salary]],0)</f>
        <v>1707</v>
      </c>
    </row>
    <row r="141" spans="1:10" x14ac:dyDescent="0.35">
      <c r="A141" t="s">
        <v>182</v>
      </c>
      <c r="B141" t="s">
        <v>15</v>
      </c>
      <c r="C141">
        <v>27</v>
      </c>
      <c r="D141" t="s">
        <v>16</v>
      </c>
      <c r="E141" s="6">
        <v>44073</v>
      </c>
      <c r="F141" t="s">
        <v>19</v>
      </c>
      <c r="G141" s="18">
        <v>54970</v>
      </c>
      <c r="H141" t="s">
        <v>205</v>
      </c>
      <c r="I141" s="9">
        <f ca="1">(TODAY()-all_staff[[#This Row],[Date Joined]])/365</f>
        <v>5.8958904109589039</v>
      </c>
      <c r="J141" s="18">
        <f ca="1">ROUNDUP(IF(all_staff[[#This Row],[Tenure]]&gt;2,3%,2%)*all_staff[[#This Row],[Salary]],0)</f>
        <v>1650</v>
      </c>
    </row>
    <row r="142" spans="1:10" x14ac:dyDescent="0.35">
      <c r="A142" t="s">
        <v>89</v>
      </c>
      <c r="B142" t="s">
        <v>15</v>
      </c>
      <c r="C142">
        <v>27</v>
      </c>
      <c r="D142" t="s">
        <v>16</v>
      </c>
      <c r="E142" s="6">
        <v>44134</v>
      </c>
      <c r="F142" t="s">
        <v>19</v>
      </c>
      <c r="G142" s="18">
        <v>54970</v>
      </c>
      <c r="H142" t="s">
        <v>207</v>
      </c>
      <c r="I142" s="9">
        <f ca="1">(TODAY()-all_staff[[#This Row],[Date Joined]])/365</f>
        <v>5.7287671232876711</v>
      </c>
      <c r="J142" s="18">
        <f ca="1">ROUNDUP(IF(all_staff[[#This Row],[Tenure]]&gt;2,3%,2%)*all_staff[[#This Row],[Salary]],0)</f>
        <v>1650</v>
      </c>
    </row>
    <row r="143" spans="1:10" x14ac:dyDescent="0.35">
      <c r="A143" t="s">
        <v>174</v>
      </c>
      <c r="B143" t="s">
        <v>15</v>
      </c>
      <c r="C143">
        <v>33</v>
      </c>
      <c r="D143" t="s">
        <v>16</v>
      </c>
      <c r="E143" s="6">
        <v>44448</v>
      </c>
      <c r="F143" t="s">
        <v>12</v>
      </c>
      <c r="G143" s="18">
        <v>53870</v>
      </c>
      <c r="H143" t="s">
        <v>205</v>
      </c>
      <c r="I143" s="9">
        <f ca="1">(TODAY()-all_staff[[#This Row],[Date Joined]])/365</f>
        <v>4.8684931506849312</v>
      </c>
      <c r="J143" s="18">
        <f ca="1">ROUNDUP(IF(all_staff[[#This Row],[Tenure]]&gt;2,3%,2%)*all_staff[[#This Row],[Salary]],0)</f>
        <v>1617</v>
      </c>
    </row>
    <row r="144" spans="1:10" x14ac:dyDescent="0.35">
      <c r="A144" t="s">
        <v>82</v>
      </c>
      <c r="B144" t="s">
        <v>15</v>
      </c>
      <c r="C144">
        <v>33</v>
      </c>
      <c r="D144" t="s">
        <v>16</v>
      </c>
      <c r="E144" s="6">
        <v>44509</v>
      </c>
      <c r="F144" t="s">
        <v>12</v>
      </c>
      <c r="G144" s="18">
        <v>53870</v>
      </c>
      <c r="H144" t="s">
        <v>207</v>
      </c>
      <c r="I144" s="9">
        <f ca="1">(TODAY()-all_staff[[#This Row],[Date Joined]])/365</f>
        <v>4.7013698630136984</v>
      </c>
      <c r="J144" s="18">
        <f ca="1">ROUNDUP(IF(all_staff[[#This Row],[Tenure]]&gt;2,3%,2%)*all_staff[[#This Row],[Salary]],0)</f>
        <v>1617</v>
      </c>
    </row>
    <row r="145" spans="1:10" x14ac:dyDescent="0.35">
      <c r="A145" t="s">
        <v>157</v>
      </c>
      <c r="B145" t="s">
        <v>15</v>
      </c>
      <c r="C145">
        <v>32</v>
      </c>
      <c r="D145" t="s">
        <v>16</v>
      </c>
      <c r="E145" s="6">
        <v>44403</v>
      </c>
      <c r="F145" t="s">
        <v>19</v>
      </c>
      <c r="G145" s="18">
        <v>53540</v>
      </c>
      <c r="H145" t="s">
        <v>205</v>
      </c>
      <c r="I145" s="9">
        <f ca="1">(TODAY()-all_staff[[#This Row],[Date Joined]])/365</f>
        <v>4.9917808219178079</v>
      </c>
      <c r="J145" s="18">
        <f ca="1">ROUNDUP(IF(all_staff[[#This Row],[Tenure]]&gt;2,3%,2%)*all_staff[[#This Row],[Salary]],0)</f>
        <v>1607</v>
      </c>
    </row>
    <row r="146" spans="1:10" x14ac:dyDescent="0.35">
      <c r="A146" t="s">
        <v>139</v>
      </c>
      <c r="B146" t="s">
        <v>15</v>
      </c>
      <c r="C146">
        <v>26</v>
      </c>
      <c r="D146" t="s">
        <v>16</v>
      </c>
      <c r="E146" s="6">
        <v>44350</v>
      </c>
      <c r="F146" t="s">
        <v>9</v>
      </c>
      <c r="G146" s="18">
        <v>53540</v>
      </c>
      <c r="H146" t="s">
        <v>205</v>
      </c>
      <c r="I146" s="9">
        <f ca="1">(TODAY()-all_staff[[#This Row],[Date Joined]])/365</f>
        <v>5.1369863013698627</v>
      </c>
      <c r="J146" s="18">
        <f ca="1">ROUNDUP(IF(all_staff[[#This Row],[Tenure]]&gt;2,3%,2%)*all_staff[[#This Row],[Salary]],0)</f>
        <v>1607</v>
      </c>
    </row>
    <row r="147" spans="1:10" x14ac:dyDescent="0.35">
      <c r="A147" t="s">
        <v>65</v>
      </c>
      <c r="B147" t="s">
        <v>15</v>
      </c>
      <c r="C147">
        <v>32</v>
      </c>
      <c r="D147" t="s">
        <v>16</v>
      </c>
      <c r="E147" s="6">
        <v>44465</v>
      </c>
      <c r="F147" t="s">
        <v>19</v>
      </c>
      <c r="G147" s="18">
        <v>53540</v>
      </c>
      <c r="H147" t="s">
        <v>207</v>
      </c>
      <c r="I147" s="9">
        <f ca="1">(TODAY()-all_staff[[#This Row],[Date Joined]])/365</f>
        <v>4.8219178082191778</v>
      </c>
      <c r="J147" s="18">
        <f ca="1">ROUNDUP(IF(all_staff[[#This Row],[Tenure]]&gt;2,3%,2%)*all_staff[[#This Row],[Salary]],0)</f>
        <v>1607</v>
      </c>
    </row>
    <row r="148" spans="1:10" x14ac:dyDescent="0.35">
      <c r="A148" t="s">
        <v>46</v>
      </c>
      <c r="B148" t="s">
        <v>15</v>
      </c>
      <c r="C148">
        <v>26</v>
      </c>
      <c r="D148" t="s">
        <v>16</v>
      </c>
      <c r="E148" s="6">
        <v>44411</v>
      </c>
      <c r="F148" t="s">
        <v>9</v>
      </c>
      <c r="G148" s="18">
        <v>53540</v>
      </c>
      <c r="H148" t="s">
        <v>207</v>
      </c>
      <c r="I148" s="9">
        <f ca="1">(TODAY()-all_staff[[#This Row],[Date Joined]])/365</f>
        <v>4.9698630136986299</v>
      </c>
      <c r="J148" s="18">
        <f ca="1">ROUNDUP(IF(all_staff[[#This Row],[Tenure]]&gt;2,3%,2%)*all_staff[[#This Row],[Salary]],0)</f>
        <v>1607</v>
      </c>
    </row>
    <row r="149" spans="1:10" x14ac:dyDescent="0.35">
      <c r="A149" t="s">
        <v>167</v>
      </c>
      <c r="B149" t="s">
        <v>8</v>
      </c>
      <c r="C149">
        <v>28</v>
      </c>
      <c r="D149" t="s">
        <v>16</v>
      </c>
      <c r="E149" s="6">
        <v>44296</v>
      </c>
      <c r="F149" t="s">
        <v>19</v>
      </c>
      <c r="G149" s="18">
        <v>53240</v>
      </c>
      <c r="H149" t="s">
        <v>205</v>
      </c>
      <c r="I149" s="9">
        <f ca="1">(TODAY()-all_staff[[#This Row],[Date Joined]])/365</f>
        <v>5.2849315068493148</v>
      </c>
      <c r="J149" s="18">
        <f ca="1">ROUNDUP(IF(all_staff[[#This Row],[Tenure]]&gt;2,3%,2%)*all_staff[[#This Row],[Salary]],0)</f>
        <v>1598</v>
      </c>
    </row>
    <row r="150" spans="1:10" x14ac:dyDescent="0.35">
      <c r="A150" t="s">
        <v>75</v>
      </c>
      <c r="B150" t="s">
        <v>8</v>
      </c>
      <c r="C150">
        <v>28</v>
      </c>
      <c r="D150" t="s">
        <v>16</v>
      </c>
      <c r="E150" s="6">
        <v>44357</v>
      </c>
      <c r="F150" t="s">
        <v>19</v>
      </c>
      <c r="G150" s="18">
        <v>53240</v>
      </c>
      <c r="H150" t="s">
        <v>207</v>
      </c>
      <c r="I150" s="9">
        <f ca="1">(TODAY()-all_staff[[#This Row],[Date Joined]])/365</f>
        <v>5.117808219178082</v>
      </c>
      <c r="J150" s="18">
        <f ca="1">ROUNDUP(IF(all_staff[[#This Row],[Tenure]]&gt;2,3%,2%)*all_staff[[#This Row],[Salary]],0)</f>
        <v>1598</v>
      </c>
    </row>
    <row r="151" spans="1:10" x14ac:dyDescent="0.35">
      <c r="A151" t="s">
        <v>155</v>
      </c>
      <c r="B151" t="s">
        <v>15</v>
      </c>
      <c r="C151">
        <v>24</v>
      </c>
      <c r="D151" t="s">
        <v>24</v>
      </c>
      <c r="E151" s="6">
        <v>44375</v>
      </c>
      <c r="F151" t="s">
        <v>21</v>
      </c>
      <c r="G151" s="18">
        <v>52610</v>
      </c>
      <c r="H151" t="s">
        <v>205</v>
      </c>
      <c r="I151" s="9">
        <f ca="1">(TODAY()-all_staff[[#This Row],[Date Joined]])/365</f>
        <v>5.0684931506849313</v>
      </c>
      <c r="J151" s="18">
        <f ca="1">ROUNDUP(IF(all_staff[[#This Row],[Tenure]]&gt;2,3%,2%)*all_staff[[#This Row],[Salary]],0)</f>
        <v>1579</v>
      </c>
    </row>
    <row r="152" spans="1:10" x14ac:dyDescent="0.35">
      <c r="A152" t="s">
        <v>63</v>
      </c>
      <c r="B152" t="s">
        <v>15</v>
      </c>
      <c r="C152">
        <v>24</v>
      </c>
      <c r="D152" t="s">
        <v>24</v>
      </c>
      <c r="E152" s="6">
        <v>44436</v>
      </c>
      <c r="F152" t="s">
        <v>21</v>
      </c>
      <c r="G152" s="18">
        <v>52610</v>
      </c>
      <c r="H152" t="s">
        <v>207</v>
      </c>
      <c r="I152" s="9">
        <f ca="1">(TODAY()-all_staff[[#This Row],[Date Joined]])/365</f>
        <v>4.9013698630136986</v>
      </c>
      <c r="J152" s="18">
        <f ca="1">ROUNDUP(IF(all_staff[[#This Row],[Tenure]]&gt;2,3%,2%)*all_staff[[#This Row],[Salary]],0)</f>
        <v>1579</v>
      </c>
    </row>
    <row r="153" spans="1:10" x14ac:dyDescent="0.35">
      <c r="A153" t="s">
        <v>165</v>
      </c>
      <c r="B153" t="s">
        <v>8</v>
      </c>
      <c r="C153">
        <v>34</v>
      </c>
      <c r="D153" t="s">
        <v>24</v>
      </c>
      <c r="E153" s="6">
        <v>44660</v>
      </c>
      <c r="F153" t="s">
        <v>19</v>
      </c>
      <c r="G153" s="18">
        <v>49630</v>
      </c>
      <c r="H153" t="s">
        <v>205</v>
      </c>
      <c r="I153" s="9">
        <f ca="1">(TODAY()-all_staff[[#This Row],[Date Joined]])/365</f>
        <v>4.2876712328767121</v>
      </c>
      <c r="J153" s="18">
        <f ca="1">ROUNDUP(IF(all_staff[[#This Row],[Tenure]]&gt;2,3%,2%)*all_staff[[#This Row],[Salary]],0)</f>
        <v>1489</v>
      </c>
    </row>
    <row r="154" spans="1:10" x14ac:dyDescent="0.35">
      <c r="A154" t="s">
        <v>73</v>
      </c>
      <c r="B154" t="s">
        <v>8</v>
      </c>
      <c r="C154">
        <v>34</v>
      </c>
      <c r="D154" t="s">
        <v>24</v>
      </c>
      <c r="E154" s="6">
        <v>44721</v>
      </c>
      <c r="F154" t="s">
        <v>19</v>
      </c>
      <c r="G154" s="18">
        <v>49630</v>
      </c>
      <c r="H154" t="s">
        <v>207</v>
      </c>
      <c r="I154" s="9">
        <f ca="1">(TODAY()-all_staff[[#This Row],[Date Joined]])/365</f>
        <v>4.1205479452054794</v>
      </c>
      <c r="J154" s="18">
        <f ca="1">ROUNDUP(IF(all_staff[[#This Row],[Tenure]]&gt;2,3%,2%)*all_staff[[#This Row],[Salary]],0)</f>
        <v>1489</v>
      </c>
    </row>
    <row r="155" spans="1:10" x14ac:dyDescent="0.35">
      <c r="A155" t="s">
        <v>146</v>
      </c>
      <c r="B155" t="s">
        <v>15</v>
      </c>
      <c r="C155">
        <v>27</v>
      </c>
      <c r="D155" t="s">
        <v>16</v>
      </c>
      <c r="E155" s="6">
        <v>44506</v>
      </c>
      <c r="F155" t="s">
        <v>21</v>
      </c>
      <c r="G155" s="18">
        <v>48980</v>
      </c>
      <c r="H155" t="s">
        <v>205</v>
      </c>
      <c r="I155" s="9">
        <f ca="1">(TODAY()-all_staff[[#This Row],[Date Joined]])/365</f>
        <v>4.7095890410958905</v>
      </c>
      <c r="J155" s="18">
        <f ca="1">ROUNDUP(IF(all_staff[[#This Row],[Tenure]]&gt;2,3%,2%)*all_staff[[#This Row],[Salary]],0)</f>
        <v>1470</v>
      </c>
    </row>
    <row r="156" spans="1:10" x14ac:dyDescent="0.35">
      <c r="A156" t="s">
        <v>53</v>
      </c>
      <c r="B156" t="s">
        <v>15</v>
      </c>
      <c r="C156">
        <v>27</v>
      </c>
      <c r="D156" t="s">
        <v>16</v>
      </c>
      <c r="E156" s="6">
        <v>44567</v>
      </c>
      <c r="F156" t="s">
        <v>21</v>
      </c>
      <c r="G156" s="18">
        <v>48980</v>
      </c>
      <c r="H156" t="s">
        <v>207</v>
      </c>
      <c r="I156" s="9">
        <f ca="1">(TODAY()-all_staff[[#This Row],[Date Joined]])/365</f>
        <v>4.5424657534246577</v>
      </c>
      <c r="J156" s="18">
        <f ca="1">ROUNDUP(IF(all_staff[[#This Row],[Tenure]]&gt;2,3%,2%)*all_staff[[#This Row],[Salary]],0)</f>
        <v>1470</v>
      </c>
    </row>
    <row r="157" spans="1:10" x14ac:dyDescent="0.35">
      <c r="A157" t="s">
        <v>113</v>
      </c>
      <c r="B157" t="s">
        <v>15</v>
      </c>
      <c r="C157">
        <v>31</v>
      </c>
      <c r="D157" t="s">
        <v>16</v>
      </c>
      <c r="E157" s="6">
        <v>44450</v>
      </c>
      <c r="F157" t="s">
        <v>12</v>
      </c>
      <c r="G157" s="18">
        <v>48950</v>
      </c>
      <c r="H157" t="s">
        <v>205</v>
      </c>
      <c r="I157" s="9">
        <f ca="1">(TODAY()-all_staff[[#This Row],[Date Joined]])/365</f>
        <v>4.8630136986301373</v>
      </c>
      <c r="J157" s="18">
        <f ca="1">ROUNDUP(IF(all_staff[[#This Row],[Tenure]]&gt;2,3%,2%)*all_staff[[#This Row],[Salary]],0)</f>
        <v>1469</v>
      </c>
    </row>
    <row r="158" spans="1:10" x14ac:dyDescent="0.35">
      <c r="A158" t="s">
        <v>14</v>
      </c>
      <c r="B158" t="s">
        <v>15</v>
      </c>
      <c r="C158">
        <v>31</v>
      </c>
      <c r="D158" t="s">
        <v>16</v>
      </c>
      <c r="E158" s="6">
        <v>44511</v>
      </c>
      <c r="F158" t="s">
        <v>12</v>
      </c>
      <c r="G158" s="18">
        <v>48950</v>
      </c>
      <c r="H158" t="s">
        <v>207</v>
      </c>
      <c r="I158" s="9">
        <f ca="1">(TODAY()-all_staff[[#This Row],[Date Joined]])/365</f>
        <v>4.6958904109589037</v>
      </c>
      <c r="J158" s="18">
        <f ca="1">ROUNDUP(IF(all_staff[[#This Row],[Tenure]]&gt;2,3%,2%)*all_staff[[#This Row],[Salary]],0)</f>
        <v>1469</v>
      </c>
    </row>
    <row r="159" spans="1:10" x14ac:dyDescent="0.35">
      <c r="A159" t="s">
        <v>144</v>
      </c>
      <c r="B159" t="s">
        <v>15</v>
      </c>
      <c r="C159">
        <v>33</v>
      </c>
      <c r="D159" t="s">
        <v>13</v>
      </c>
      <c r="E159" s="6">
        <v>44640</v>
      </c>
      <c r="F159" t="s">
        <v>9</v>
      </c>
      <c r="G159" s="18">
        <v>48530</v>
      </c>
      <c r="H159" t="s">
        <v>205</v>
      </c>
      <c r="I159" s="9">
        <f ca="1">(TODAY()-all_staff[[#This Row],[Date Joined]])/365</f>
        <v>4.3424657534246576</v>
      </c>
      <c r="J159" s="18">
        <f ca="1">ROUNDUP(IF(all_staff[[#This Row],[Tenure]]&gt;2,3%,2%)*all_staff[[#This Row],[Salary]],0)</f>
        <v>1456</v>
      </c>
    </row>
    <row r="160" spans="1:10" x14ac:dyDescent="0.35">
      <c r="A160" t="s">
        <v>51</v>
      </c>
      <c r="B160" t="s">
        <v>15</v>
      </c>
      <c r="C160">
        <v>33</v>
      </c>
      <c r="D160" t="s">
        <v>13</v>
      </c>
      <c r="E160" s="6">
        <v>44701</v>
      </c>
      <c r="F160" t="s">
        <v>9</v>
      </c>
      <c r="G160" s="18">
        <v>48530</v>
      </c>
      <c r="H160" t="s">
        <v>207</v>
      </c>
      <c r="I160" s="9">
        <f ca="1">(TODAY()-all_staff[[#This Row],[Date Joined]])/365</f>
        <v>4.1753424657534248</v>
      </c>
      <c r="J160" s="18">
        <f ca="1">ROUNDUP(IF(all_staff[[#This Row],[Tenure]]&gt;2,3%,2%)*all_staff[[#This Row],[Salary]],0)</f>
        <v>1456</v>
      </c>
    </row>
    <row r="161" spans="1:10" x14ac:dyDescent="0.35">
      <c r="A161" t="s">
        <v>123</v>
      </c>
      <c r="B161" t="s">
        <v>15</v>
      </c>
      <c r="C161">
        <v>28</v>
      </c>
      <c r="D161" t="s">
        <v>13</v>
      </c>
      <c r="E161" s="6">
        <v>43980</v>
      </c>
      <c r="F161" t="s">
        <v>21</v>
      </c>
      <c r="G161" s="18">
        <v>48170</v>
      </c>
      <c r="H161" t="s">
        <v>205</v>
      </c>
      <c r="I161" s="9">
        <f ca="1">(TODAY()-all_staff[[#This Row],[Date Joined]])/365</f>
        <v>6.1506849315068495</v>
      </c>
      <c r="J161" s="18">
        <f ca="1">ROUNDUP(IF(all_staff[[#This Row],[Tenure]]&gt;2,3%,2%)*all_staff[[#This Row],[Salary]],0)</f>
        <v>1446</v>
      </c>
    </row>
    <row r="162" spans="1:10" x14ac:dyDescent="0.35">
      <c r="A162" t="s">
        <v>29</v>
      </c>
      <c r="B162" t="s">
        <v>15</v>
      </c>
      <c r="C162">
        <v>28</v>
      </c>
      <c r="D162" t="s">
        <v>13</v>
      </c>
      <c r="E162" s="6">
        <v>44041</v>
      </c>
      <c r="F162" t="s">
        <v>21</v>
      </c>
      <c r="G162" s="18">
        <v>48170</v>
      </c>
      <c r="H162" t="s">
        <v>207</v>
      </c>
      <c r="I162" s="9">
        <f ca="1">(TODAY()-all_staff[[#This Row],[Date Joined]])/365</f>
        <v>5.9835616438356167</v>
      </c>
      <c r="J162" s="18">
        <f ca="1">ROUNDUP(IF(all_staff[[#This Row],[Tenure]]&gt;2,3%,2%)*all_staff[[#This Row],[Salary]],0)</f>
        <v>1446</v>
      </c>
    </row>
    <row r="163" spans="1:10" x14ac:dyDescent="0.35">
      <c r="A163" t="s">
        <v>151</v>
      </c>
      <c r="B163" t="s">
        <v>15</v>
      </c>
      <c r="C163">
        <v>26</v>
      </c>
      <c r="D163" t="s">
        <v>16</v>
      </c>
      <c r="E163" s="6">
        <v>44164</v>
      </c>
      <c r="F163" t="s">
        <v>9</v>
      </c>
      <c r="G163" s="18">
        <v>47360</v>
      </c>
      <c r="H163" t="s">
        <v>205</v>
      </c>
      <c r="I163" s="9">
        <f ca="1">(TODAY()-all_staff[[#This Row],[Date Joined]])/365</f>
        <v>5.646575342465753</v>
      </c>
      <c r="J163" s="18">
        <f ca="1">ROUNDUP(IF(all_staff[[#This Row],[Tenure]]&gt;2,3%,2%)*all_staff[[#This Row],[Salary]],0)</f>
        <v>1421</v>
      </c>
    </row>
    <row r="164" spans="1:10" x14ac:dyDescent="0.35">
      <c r="A164" t="s">
        <v>59</v>
      </c>
      <c r="B164" t="s">
        <v>15</v>
      </c>
      <c r="C164">
        <v>26</v>
      </c>
      <c r="D164" t="s">
        <v>16</v>
      </c>
      <c r="E164" s="6">
        <v>44225</v>
      </c>
      <c r="F164" t="s">
        <v>9</v>
      </c>
      <c r="G164" s="18">
        <v>47360</v>
      </c>
      <c r="H164" t="s">
        <v>207</v>
      </c>
      <c r="I164" s="9">
        <f ca="1">(TODAY()-all_staff[[#This Row],[Date Joined]])/365</f>
        <v>5.4794520547945202</v>
      </c>
      <c r="J164" s="18">
        <f ca="1">ROUNDUP(IF(all_staff[[#This Row],[Tenure]]&gt;2,3%,2%)*all_staff[[#This Row],[Salary]],0)</f>
        <v>1421</v>
      </c>
    </row>
    <row r="165" spans="1:10" x14ac:dyDescent="0.35">
      <c r="A165" t="s">
        <v>201</v>
      </c>
      <c r="B165" t="s">
        <v>8</v>
      </c>
      <c r="C165">
        <v>32</v>
      </c>
      <c r="D165" t="s">
        <v>16</v>
      </c>
      <c r="E165" s="6">
        <v>44339</v>
      </c>
      <c r="F165" t="s">
        <v>56</v>
      </c>
      <c r="G165" s="18">
        <v>45510</v>
      </c>
      <c r="H165" t="s">
        <v>205</v>
      </c>
      <c r="I165" s="9">
        <f ca="1">(TODAY()-all_staff[[#This Row],[Date Joined]])/365</f>
        <v>5.1671232876712327</v>
      </c>
      <c r="J165" s="18">
        <f ca="1">ROUNDUP(IF(all_staff[[#This Row],[Tenure]]&gt;2,3%,2%)*all_staff[[#This Row],[Salary]],0)</f>
        <v>1366</v>
      </c>
    </row>
    <row r="166" spans="1:10" x14ac:dyDescent="0.35">
      <c r="A166" t="s">
        <v>108</v>
      </c>
      <c r="B166" t="s">
        <v>8</v>
      </c>
      <c r="C166">
        <v>32</v>
      </c>
      <c r="D166" t="s">
        <v>16</v>
      </c>
      <c r="E166" s="6">
        <v>44400</v>
      </c>
      <c r="F166" t="s">
        <v>56</v>
      </c>
      <c r="G166" s="18">
        <v>45510</v>
      </c>
      <c r="H166" t="s">
        <v>207</v>
      </c>
      <c r="I166" s="9">
        <f ca="1">(TODAY()-all_staff[[#This Row],[Date Joined]])/365</f>
        <v>5</v>
      </c>
      <c r="J166" s="18">
        <f ca="1">ROUNDUP(IF(all_staff[[#This Row],[Tenure]]&gt;2,3%,2%)*all_staff[[#This Row],[Salary]],0)</f>
        <v>1366</v>
      </c>
    </row>
    <row r="167" spans="1:10" x14ac:dyDescent="0.35">
      <c r="A167" t="s">
        <v>176</v>
      </c>
      <c r="B167" t="s">
        <v>8</v>
      </c>
      <c r="C167">
        <v>32</v>
      </c>
      <c r="D167" t="s">
        <v>13</v>
      </c>
      <c r="E167" s="6">
        <v>44293</v>
      </c>
      <c r="F167" t="s">
        <v>12</v>
      </c>
      <c r="G167" s="18">
        <v>43840</v>
      </c>
      <c r="H167" t="s">
        <v>205</v>
      </c>
      <c r="I167" s="9">
        <f ca="1">(TODAY()-all_staff[[#This Row],[Date Joined]])/365</f>
        <v>5.2931506849315069</v>
      </c>
      <c r="J167" s="18">
        <f ca="1">ROUNDUP(IF(all_staff[[#This Row],[Tenure]]&gt;2,3%,2%)*all_staff[[#This Row],[Salary]],0)</f>
        <v>1316</v>
      </c>
    </row>
    <row r="168" spans="1:10" x14ac:dyDescent="0.35">
      <c r="A168" t="s">
        <v>84</v>
      </c>
      <c r="B168" t="s">
        <v>8</v>
      </c>
      <c r="C168">
        <v>32</v>
      </c>
      <c r="D168" t="s">
        <v>13</v>
      </c>
      <c r="E168" s="6">
        <v>44354</v>
      </c>
      <c r="F168" t="s">
        <v>12</v>
      </c>
      <c r="G168" s="18">
        <v>43840</v>
      </c>
      <c r="H168" t="s">
        <v>207</v>
      </c>
      <c r="I168" s="9">
        <f ca="1">(TODAY()-all_staff[[#This Row],[Date Joined]])/365</f>
        <v>5.1260273972602741</v>
      </c>
      <c r="J168" s="18">
        <f ca="1">ROUNDUP(IF(all_staff[[#This Row],[Tenure]]&gt;2,3%,2%)*all_staff[[#This Row],[Salary]],0)</f>
        <v>1316</v>
      </c>
    </row>
    <row r="169" spans="1:10" x14ac:dyDescent="0.35">
      <c r="A169" t="s">
        <v>172</v>
      </c>
      <c r="B169" t="s">
        <v>15</v>
      </c>
      <c r="C169">
        <v>28</v>
      </c>
      <c r="D169" t="s">
        <v>42</v>
      </c>
      <c r="E169" s="6">
        <v>44758</v>
      </c>
      <c r="F169" t="s">
        <v>19</v>
      </c>
      <c r="G169" s="18">
        <v>43510</v>
      </c>
      <c r="H169" t="s">
        <v>205</v>
      </c>
      <c r="I169" s="9">
        <f ca="1">(TODAY()-all_staff[[#This Row],[Date Joined]])/365</f>
        <v>4.0191780821917806</v>
      </c>
      <c r="J169" s="18">
        <f ca="1">ROUNDUP(IF(all_staff[[#This Row],[Tenure]]&gt;2,3%,2%)*all_staff[[#This Row],[Salary]],0)</f>
        <v>1306</v>
      </c>
    </row>
    <row r="170" spans="1:10" x14ac:dyDescent="0.35">
      <c r="A170" t="s">
        <v>80</v>
      </c>
      <c r="B170" t="s">
        <v>15</v>
      </c>
      <c r="C170">
        <v>28</v>
      </c>
      <c r="D170" t="s">
        <v>42</v>
      </c>
      <c r="E170" s="6">
        <v>44820</v>
      </c>
      <c r="F170" t="s">
        <v>19</v>
      </c>
      <c r="G170" s="18">
        <v>43510</v>
      </c>
      <c r="H170" t="s">
        <v>207</v>
      </c>
      <c r="I170" s="9">
        <f ca="1">(TODAY()-all_staff[[#This Row],[Date Joined]])/365</f>
        <v>3.8493150684931505</v>
      </c>
      <c r="J170" s="18">
        <f ca="1">ROUNDUP(IF(all_staff[[#This Row],[Tenure]]&gt;2,3%,2%)*all_staff[[#This Row],[Salary]],0)</f>
        <v>1306</v>
      </c>
    </row>
    <row r="171" spans="1:10" x14ac:dyDescent="0.35">
      <c r="A171" t="s">
        <v>124</v>
      </c>
      <c r="B171" t="s">
        <v>8</v>
      </c>
      <c r="C171">
        <v>31</v>
      </c>
      <c r="D171" t="s">
        <v>16</v>
      </c>
      <c r="E171" s="6">
        <v>44084</v>
      </c>
      <c r="F171" t="s">
        <v>12</v>
      </c>
      <c r="G171" s="18">
        <v>41980</v>
      </c>
      <c r="H171" t="s">
        <v>205</v>
      </c>
      <c r="I171" s="9">
        <f ca="1">(TODAY()-all_staff[[#This Row],[Date Joined]])/365</f>
        <v>5.8657534246575347</v>
      </c>
      <c r="J171" s="18">
        <f ca="1">ROUNDUP(IF(all_staff[[#This Row],[Tenure]]&gt;2,3%,2%)*all_staff[[#This Row],[Salary]],0)</f>
        <v>1260</v>
      </c>
    </row>
    <row r="172" spans="1:10" x14ac:dyDescent="0.35">
      <c r="A172" t="s">
        <v>30</v>
      </c>
      <c r="B172" t="s">
        <v>8</v>
      </c>
      <c r="C172">
        <v>31</v>
      </c>
      <c r="D172" t="s">
        <v>16</v>
      </c>
      <c r="E172" s="6">
        <v>44145</v>
      </c>
      <c r="F172" t="s">
        <v>12</v>
      </c>
      <c r="G172" s="18">
        <v>41980</v>
      </c>
      <c r="H172" t="s">
        <v>207</v>
      </c>
      <c r="I172" s="9">
        <f ca="1">(TODAY()-all_staff[[#This Row],[Date Joined]])/365</f>
        <v>5.6986301369863011</v>
      </c>
      <c r="J172" s="18">
        <f ca="1">ROUNDUP(IF(all_staff[[#This Row],[Tenure]]&gt;2,3%,2%)*all_staff[[#This Row],[Salary]],0)</f>
        <v>1260</v>
      </c>
    </row>
    <row r="173" spans="1:10" x14ac:dyDescent="0.35">
      <c r="A173" t="s">
        <v>158</v>
      </c>
      <c r="B173" t="s">
        <v>8</v>
      </c>
      <c r="C173">
        <v>32</v>
      </c>
      <c r="D173" t="s">
        <v>16</v>
      </c>
      <c r="E173" s="6">
        <v>44549</v>
      </c>
      <c r="F173" t="s">
        <v>9</v>
      </c>
      <c r="G173" s="18">
        <v>41570</v>
      </c>
      <c r="H173" t="s">
        <v>205</v>
      </c>
      <c r="I173" s="9">
        <f ca="1">(TODAY()-all_staff[[#This Row],[Date Joined]])/365</f>
        <v>4.5917808219178085</v>
      </c>
      <c r="J173" s="18">
        <f ca="1">ROUNDUP(IF(all_staff[[#This Row],[Tenure]]&gt;2,3%,2%)*all_staff[[#This Row],[Salary]],0)</f>
        <v>1248</v>
      </c>
    </row>
    <row r="174" spans="1:10" x14ac:dyDescent="0.35">
      <c r="A174" t="s">
        <v>66</v>
      </c>
      <c r="B174" t="s">
        <v>8</v>
      </c>
      <c r="C174">
        <v>32</v>
      </c>
      <c r="D174" t="s">
        <v>16</v>
      </c>
      <c r="E174" s="6">
        <v>44611</v>
      </c>
      <c r="F174" t="s">
        <v>9</v>
      </c>
      <c r="G174" s="18">
        <v>41570</v>
      </c>
      <c r="H174" t="s">
        <v>207</v>
      </c>
      <c r="I174" s="9">
        <f ca="1">(TODAY()-all_staff[[#This Row],[Date Joined]])/365</f>
        <v>4.4219178082191783</v>
      </c>
      <c r="J174" s="18">
        <f ca="1">ROUNDUP(IF(all_staff[[#This Row],[Tenure]]&gt;2,3%,2%)*all_staff[[#This Row],[Salary]],0)</f>
        <v>1248</v>
      </c>
    </row>
    <row r="175" spans="1:10" x14ac:dyDescent="0.35">
      <c r="A175" t="s">
        <v>149</v>
      </c>
      <c r="B175" t="s">
        <v>15</v>
      </c>
      <c r="C175">
        <v>35</v>
      </c>
      <c r="D175" t="s">
        <v>16</v>
      </c>
      <c r="E175" s="6">
        <v>44666</v>
      </c>
      <c r="F175" t="s">
        <v>9</v>
      </c>
      <c r="G175" s="18">
        <v>40400</v>
      </c>
      <c r="H175" t="s">
        <v>205</v>
      </c>
      <c r="I175" s="9">
        <f ca="1">(TODAY()-all_staff[[#This Row],[Date Joined]])/365</f>
        <v>4.2712328767123289</v>
      </c>
      <c r="J175" s="18">
        <f ca="1">ROUNDUP(IF(all_staff[[#This Row],[Tenure]]&gt;2,3%,2%)*all_staff[[#This Row],[Salary]],0)</f>
        <v>1212</v>
      </c>
    </row>
    <row r="176" spans="1:10" x14ac:dyDescent="0.35">
      <c r="A176" t="s">
        <v>57</v>
      </c>
      <c r="B176" t="s">
        <v>15</v>
      </c>
      <c r="C176">
        <v>35</v>
      </c>
      <c r="D176" t="s">
        <v>16</v>
      </c>
      <c r="E176" s="6">
        <v>44727</v>
      </c>
      <c r="F176" t="s">
        <v>9</v>
      </c>
      <c r="G176" s="18">
        <v>40400</v>
      </c>
      <c r="H176" t="s">
        <v>207</v>
      </c>
      <c r="I176" s="9">
        <f ca="1">(TODAY()-all_staff[[#This Row],[Date Joined]])/365</f>
        <v>4.1041095890410961</v>
      </c>
      <c r="J176" s="18">
        <f ca="1">ROUNDUP(IF(all_staff[[#This Row],[Tenure]]&gt;2,3%,2%)*all_staff[[#This Row],[Salary]],0)</f>
        <v>1212</v>
      </c>
    </row>
    <row r="177" spans="1:10" x14ac:dyDescent="0.35">
      <c r="A177" t="s">
        <v>140</v>
      </c>
      <c r="B177" t="s">
        <v>15</v>
      </c>
      <c r="C177">
        <v>21</v>
      </c>
      <c r="D177" t="s">
        <v>16</v>
      </c>
      <c r="E177" s="6">
        <v>44042</v>
      </c>
      <c r="F177" t="s">
        <v>9</v>
      </c>
      <c r="G177" s="18">
        <v>37920</v>
      </c>
      <c r="H177" t="s">
        <v>205</v>
      </c>
      <c r="I177" s="9">
        <f ca="1">(TODAY()-all_staff[[#This Row],[Date Joined]])/365</f>
        <v>5.9808219178082194</v>
      </c>
      <c r="J177" s="18">
        <f ca="1">ROUNDUP(IF(all_staff[[#This Row],[Tenure]]&gt;2,3%,2%)*all_staff[[#This Row],[Salary]],0)</f>
        <v>1138</v>
      </c>
    </row>
    <row r="178" spans="1:10" x14ac:dyDescent="0.35">
      <c r="A178" t="s">
        <v>47</v>
      </c>
      <c r="B178" t="s">
        <v>15</v>
      </c>
      <c r="C178">
        <v>21</v>
      </c>
      <c r="D178" t="s">
        <v>16</v>
      </c>
      <c r="E178" s="6">
        <v>44104</v>
      </c>
      <c r="F178" t="s">
        <v>9</v>
      </c>
      <c r="G178" s="18">
        <v>37920</v>
      </c>
      <c r="H178" t="s">
        <v>207</v>
      </c>
      <c r="I178" s="9">
        <f ca="1">(TODAY()-all_staff[[#This Row],[Date Joined]])/365</f>
        <v>5.8109589041095893</v>
      </c>
      <c r="J178" s="18">
        <f ca="1">ROUNDUP(IF(all_staff[[#This Row],[Tenure]]&gt;2,3%,2%)*all_staff[[#This Row],[Salary]],0)</f>
        <v>1138</v>
      </c>
    </row>
    <row r="179" spans="1:10" x14ac:dyDescent="0.35">
      <c r="A179" t="s">
        <v>192</v>
      </c>
      <c r="B179" t="s">
        <v>15</v>
      </c>
      <c r="C179">
        <v>43</v>
      </c>
      <c r="D179" t="s">
        <v>16</v>
      </c>
      <c r="E179" s="6">
        <v>44558</v>
      </c>
      <c r="F179" t="s">
        <v>19</v>
      </c>
      <c r="G179" s="18">
        <v>36040</v>
      </c>
      <c r="H179" t="s">
        <v>205</v>
      </c>
      <c r="I179" s="9">
        <f ca="1">(TODAY()-all_staff[[#This Row],[Date Joined]])/365</f>
        <v>4.5671232876712331</v>
      </c>
      <c r="J179" s="18">
        <f ca="1">ROUNDUP(IF(all_staff[[#This Row],[Tenure]]&gt;2,3%,2%)*all_staff[[#This Row],[Salary]],0)</f>
        <v>1082</v>
      </c>
    </row>
    <row r="180" spans="1:10" x14ac:dyDescent="0.35">
      <c r="A180" t="s">
        <v>99</v>
      </c>
      <c r="B180" t="s">
        <v>15</v>
      </c>
      <c r="C180">
        <v>43</v>
      </c>
      <c r="D180" t="s">
        <v>16</v>
      </c>
      <c r="E180" s="6">
        <v>44620</v>
      </c>
      <c r="F180" t="s">
        <v>19</v>
      </c>
      <c r="G180" s="18">
        <v>36040</v>
      </c>
      <c r="H180" t="s">
        <v>207</v>
      </c>
      <c r="I180" s="9">
        <f ca="1">(TODAY()-all_staff[[#This Row],[Date Joined]])/365</f>
        <v>4.397260273972603</v>
      </c>
      <c r="J180" s="18">
        <f ca="1">ROUNDUP(IF(all_staff[[#This Row],[Tenure]]&gt;2,3%,2%)*all_staff[[#This Row],[Salary]],0)</f>
        <v>1082</v>
      </c>
    </row>
    <row r="181" spans="1:10" x14ac:dyDescent="0.35">
      <c r="A181" t="s">
        <v>137</v>
      </c>
      <c r="B181" t="s">
        <v>8</v>
      </c>
      <c r="C181">
        <v>29</v>
      </c>
      <c r="D181" t="s">
        <v>16</v>
      </c>
      <c r="E181" s="6">
        <v>43962</v>
      </c>
      <c r="F181" t="s">
        <v>12</v>
      </c>
      <c r="G181" s="18">
        <v>34980</v>
      </c>
      <c r="H181" t="s">
        <v>205</v>
      </c>
      <c r="I181" s="9">
        <f ca="1">(TODAY()-all_staff[[#This Row],[Date Joined]])/365</f>
        <v>6.2</v>
      </c>
      <c r="J181" s="18">
        <f ca="1">ROUNDUP(IF(all_staff[[#This Row],[Tenure]]&gt;2,3%,2%)*all_staff[[#This Row],[Salary]],0)</f>
        <v>1050</v>
      </c>
    </row>
    <row r="182" spans="1:10" x14ac:dyDescent="0.35">
      <c r="A182" t="s">
        <v>44</v>
      </c>
      <c r="B182" t="s">
        <v>8</v>
      </c>
      <c r="C182">
        <v>29</v>
      </c>
      <c r="D182" t="s">
        <v>16</v>
      </c>
      <c r="E182" s="6">
        <v>44023</v>
      </c>
      <c r="F182" t="s">
        <v>12</v>
      </c>
      <c r="G182" s="18">
        <v>34980</v>
      </c>
      <c r="H182" t="s">
        <v>207</v>
      </c>
      <c r="I182" s="9">
        <f ca="1">(TODAY()-all_staff[[#This Row],[Date Joined]])/365</f>
        <v>6.0328767123287674</v>
      </c>
      <c r="J182" s="18">
        <f ca="1">ROUNDUP(IF(all_staff[[#This Row],[Tenure]]&gt;2,3%,2%)*all_staff[[#This Row],[Salary]],0)</f>
        <v>1050</v>
      </c>
    </row>
    <row r="183" spans="1:10" x14ac:dyDescent="0.35">
      <c r="A183" t="s">
        <v>179</v>
      </c>
      <c r="B183" t="s">
        <v>8</v>
      </c>
      <c r="C183">
        <v>21</v>
      </c>
      <c r="D183" t="s">
        <v>16</v>
      </c>
      <c r="E183" s="6">
        <v>44619</v>
      </c>
      <c r="F183" t="s">
        <v>12</v>
      </c>
      <c r="G183" s="18">
        <v>33920</v>
      </c>
      <c r="H183" t="s">
        <v>205</v>
      </c>
      <c r="I183" s="9">
        <f ca="1">(TODAY()-all_staff[[#This Row],[Date Joined]])/365</f>
        <v>4.4000000000000004</v>
      </c>
      <c r="J183" s="18">
        <f ca="1">ROUNDUP(IF(all_staff[[#This Row],[Tenure]]&gt;2,3%,2%)*all_staff[[#This Row],[Salary]],0)</f>
        <v>1018</v>
      </c>
    </row>
    <row r="184" spans="1:10" x14ac:dyDescent="0.35">
      <c r="A184" t="s">
        <v>86</v>
      </c>
      <c r="B184" t="s">
        <v>8</v>
      </c>
      <c r="C184">
        <v>21</v>
      </c>
      <c r="D184" t="s">
        <v>16</v>
      </c>
      <c r="E184" s="6">
        <v>44678</v>
      </c>
      <c r="F184" t="s">
        <v>12</v>
      </c>
      <c r="G184" s="18">
        <v>33920</v>
      </c>
      <c r="H184" t="s">
        <v>207</v>
      </c>
      <c r="I184" s="9">
        <f ca="1">(TODAY()-all_staff[[#This Row],[Date Joined]])/365</f>
        <v>4.2383561643835614</v>
      </c>
      <c r="J184" s="18">
        <f ca="1">ROUNDUP(IF(all_staff[[#This Row],[Tenure]]&gt;2,3%,2%)*all_staff[[#This Row],[Salary]],0)</f>
        <v>1018</v>
      </c>
    </row>
  </sheetData>
  <conditionalFormatting sqref="G1:G1048576">
    <cfRule type="colorScale" priority="1">
      <colorScale>
        <cfvo type="min"/>
        <cfvo type="percentile" val="50"/>
        <cfvo type="max"/>
        <color rgb="FFF8696B"/>
        <color rgb="FFFCFCFF"/>
        <color rgb="FF5A8AC6"/>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61491-ADA8-4C1B-9637-CF185BB6E19F}">
  <sheetPr>
    <tabColor theme="9" tint="0.59999389629810485"/>
  </sheetPr>
  <dimension ref="I1"/>
  <sheetViews>
    <sheetView workbookViewId="0">
      <selection activeCell="I1" sqref="I1"/>
    </sheetView>
  </sheetViews>
  <sheetFormatPr defaultRowHeight="14.5" x14ac:dyDescent="0.35"/>
  <cols>
    <col min="9" max="9" width="32.90625" bestFit="1" customWidth="1"/>
  </cols>
  <sheetData>
    <row r="1" spans="9:9" ht="19" x14ac:dyDescent="0.4">
      <c r="I1" s="35" t="s">
        <v>237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52B72-67EA-40D4-BF10-2B5374EFCE53}">
  <sheetPr>
    <tabColor theme="9" tint="0.59999389629810485"/>
  </sheetPr>
  <dimension ref="B2:I9"/>
  <sheetViews>
    <sheetView workbookViewId="0">
      <selection activeCell="B2" sqref="B2"/>
    </sheetView>
  </sheetViews>
  <sheetFormatPr defaultRowHeight="14.5" x14ac:dyDescent="0.35"/>
  <cols>
    <col min="2" max="2" width="47.81640625" bestFit="1" customWidth="1"/>
    <col min="3" max="3" width="13.08984375" bestFit="1" customWidth="1"/>
    <col min="4" max="4" width="18.08984375" bestFit="1" customWidth="1"/>
    <col min="5" max="6" width="16.90625" bestFit="1" customWidth="1"/>
    <col min="9" max="9" width="13.08984375" bestFit="1" customWidth="1"/>
    <col min="10" max="10" width="2" bestFit="1" customWidth="1"/>
  </cols>
  <sheetData>
    <row r="2" spans="2:9" ht="19" x14ac:dyDescent="0.4">
      <c r="B2" s="35" t="s">
        <v>238</v>
      </c>
      <c r="C2" s="15" t="s">
        <v>233</v>
      </c>
      <c r="D2" t="s">
        <v>236</v>
      </c>
      <c r="E2" s="5" t="s">
        <v>226</v>
      </c>
    </row>
    <row r="3" spans="2:9" x14ac:dyDescent="0.35">
      <c r="C3" s="16" t="s">
        <v>10</v>
      </c>
      <c r="D3">
        <v>4</v>
      </c>
      <c r="E3" s="34">
        <v>92080</v>
      </c>
    </row>
    <row r="4" spans="2:9" x14ac:dyDescent="0.35">
      <c r="C4" s="16" t="s">
        <v>13</v>
      </c>
      <c r="D4">
        <v>20</v>
      </c>
      <c r="E4" s="34">
        <v>75933</v>
      </c>
    </row>
    <row r="5" spans="2:9" x14ac:dyDescent="0.35">
      <c r="C5" s="16" t="s">
        <v>16</v>
      </c>
      <c r="D5">
        <v>137</v>
      </c>
      <c r="E5" s="34">
        <v>76798.759124087592</v>
      </c>
      <c r="I5" s="16"/>
    </row>
    <row r="6" spans="2:9" x14ac:dyDescent="0.35">
      <c r="C6" s="16" t="s">
        <v>24</v>
      </c>
      <c r="D6">
        <v>16</v>
      </c>
      <c r="E6" s="34">
        <v>78115</v>
      </c>
      <c r="I6" s="16"/>
    </row>
    <row r="7" spans="2:9" x14ac:dyDescent="0.35">
      <c r="C7" s="16" t="s">
        <v>42</v>
      </c>
      <c r="D7">
        <v>6</v>
      </c>
      <c r="E7" s="34">
        <v>77423.333333333328</v>
      </c>
      <c r="I7" s="16"/>
    </row>
    <row r="8" spans="2:9" x14ac:dyDescent="0.35">
      <c r="I8" s="16"/>
    </row>
    <row r="9" spans="2:9" x14ac:dyDescent="0.35">
      <c r="I9" s="16"/>
    </row>
  </sheetData>
  <conditionalFormatting pivot="1" sqref="E3:E7">
    <cfRule type="colorScale" priority="3">
      <colorScale>
        <cfvo type="min"/>
        <cfvo type="percentile" val="50"/>
        <cfvo type="max"/>
        <color rgb="FF5A8AC6"/>
        <color rgb="FFFCFCFF"/>
        <color rgb="FFF8696B"/>
      </colorScale>
    </cfRule>
  </conditionalFormatting>
  <conditionalFormatting sqref="H12">
    <cfRule type="colorScale" priority="2">
      <colorScale>
        <cfvo type="min"/>
        <cfvo type="percentile" val="50"/>
        <cfvo type="max"/>
        <color rgb="FFF8696B"/>
        <color rgb="FFFFEB84"/>
        <color rgb="FF63BE7B"/>
      </colorScale>
    </cfRule>
  </conditionalFormatting>
  <conditionalFormatting pivot="1" sqref="E3:E7">
    <cfRule type="colorScale" priority="1">
      <colorScale>
        <cfvo type="min"/>
        <cfvo type="max"/>
        <color rgb="FFFCFCFF"/>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20DAD-AA2F-48AC-8236-F770DCC6E28D}">
  <sheetPr>
    <tabColor theme="9" tint="0.59999389629810485"/>
  </sheetPr>
  <dimension ref="B1:E40"/>
  <sheetViews>
    <sheetView workbookViewId="0">
      <selection activeCell="I11" sqref="I11"/>
    </sheetView>
  </sheetViews>
  <sheetFormatPr defaultRowHeight="14.5" x14ac:dyDescent="0.35"/>
  <cols>
    <col min="2" max="2" width="12.54296875" bestFit="1" customWidth="1"/>
    <col min="3" max="3" width="13.90625" bestFit="1" customWidth="1"/>
    <col min="4" max="4" width="12.54296875" bestFit="1" customWidth="1"/>
    <col min="5" max="5" width="41.1796875" bestFit="1" customWidth="1"/>
    <col min="8" max="8" width="6" customWidth="1"/>
  </cols>
  <sheetData>
    <row r="1" spans="2:5" ht="22.5" x14ac:dyDescent="0.45">
      <c r="E1" s="37" t="s">
        <v>239</v>
      </c>
    </row>
    <row r="3" spans="2:5" x14ac:dyDescent="0.35">
      <c r="B3" s="15" t="s">
        <v>233</v>
      </c>
      <c r="C3" t="s">
        <v>235</v>
      </c>
    </row>
    <row r="4" spans="2:5" x14ac:dyDescent="0.35">
      <c r="B4" s="16" t="s">
        <v>240</v>
      </c>
    </row>
    <row r="5" spans="2:5" x14ac:dyDescent="0.35">
      <c r="B5" s="36" t="s">
        <v>241</v>
      </c>
      <c r="C5">
        <v>3</v>
      </c>
    </row>
    <row r="6" spans="2:5" x14ac:dyDescent="0.35">
      <c r="B6" s="36" t="s">
        <v>242</v>
      </c>
      <c r="C6">
        <v>4</v>
      </c>
    </row>
    <row r="7" spans="2:5" x14ac:dyDescent="0.35">
      <c r="B7" s="36" t="s">
        <v>243</v>
      </c>
      <c r="C7">
        <v>9</v>
      </c>
    </row>
    <row r="8" spans="2:5" x14ac:dyDescent="0.35">
      <c r="B8" s="36" t="s">
        <v>244</v>
      </c>
      <c r="C8">
        <v>12</v>
      </c>
    </row>
    <row r="9" spans="2:5" x14ac:dyDescent="0.35">
      <c r="B9" s="36" t="s">
        <v>245</v>
      </c>
      <c r="C9">
        <v>18</v>
      </c>
    </row>
    <row r="10" spans="2:5" x14ac:dyDescent="0.35">
      <c r="B10" s="36" t="s">
        <v>246</v>
      </c>
      <c r="C10">
        <v>24</v>
      </c>
    </row>
    <row r="11" spans="2:5" x14ac:dyDescent="0.35">
      <c r="B11" s="36" t="s">
        <v>247</v>
      </c>
      <c r="C11">
        <v>30</v>
      </c>
    </row>
    <row r="12" spans="2:5" x14ac:dyDescent="0.35">
      <c r="B12" s="36" t="s">
        <v>248</v>
      </c>
      <c r="C12">
        <v>37</v>
      </c>
    </row>
    <row r="13" spans="2:5" x14ac:dyDescent="0.35">
      <c r="B13" s="16" t="s">
        <v>249</v>
      </c>
    </row>
    <row r="14" spans="2:5" x14ac:dyDescent="0.35">
      <c r="B14" s="36" t="s">
        <v>250</v>
      </c>
      <c r="C14">
        <v>6</v>
      </c>
    </row>
    <row r="15" spans="2:5" x14ac:dyDescent="0.35">
      <c r="B15" s="36" t="s">
        <v>251</v>
      </c>
      <c r="C15">
        <v>10</v>
      </c>
    </row>
    <row r="16" spans="2:5" x14ac:dyDescent="0.35">
      <c r="B16" s="36" t="s">
        <v>252</v>
      </c>
      <c r="C16">
        <v>19</v>
      </c>
    </row>
    <row r="17" spans="2:3" x14ac:dyDescent="0.35">
      <c r="B17" s="36" t="s">
        <v>253</v>
      </c>
      <c r="C17">
        <v>24</v>
      </c>
    </row>
    <row r="18" spans="2:3" x14ac:dyDescent="0.35">
      <c r="B18" s="36" t="s">
        <v>241</v>
      </c>
      <c r="C18">
        <v>34</v>
      </c>
    </row>
    <row r="19" spans="2:3" x14ac:dyDescent="0.35">
      <c r="B19" s="36" t="s">
        <v>242</v>
      </c>
      <c r="C19">
        <v>40</v>
      </c>
    </row>
    <row r="20" spans="2:3" x14ac:dyDescent="0.35">
      <c r="B20" s="36" t="s">
        <v>243</v>
      </c>
      <c r="C20">
        <v>53</v>
      </c>
    </row>
    <row r="21" spans="2:3" x14ac:dyDescent="0.35">
      <c r="B21" s="36" t="s">
        <v>244</v>
      </c>
      <c r="C21">
        <v>57</v>
      </c>
    </row>
    <row r="22" spans="2:3" x14ac:dyDescent="0.35">
      <c r="B22" s="36" t="s">
        <v>245</v>
      </c>
      <c r="C22">
        <v>68</v>
      </c>
    </row>
    <row r="23" spans="2:3" x14ac:dyDescent="0.35">
      <c r="B23" s="36" t="s">
        <v>246</v>
      </c>
      <c r="C23">
        <v>71</v>
      </c>
    </row>
    <row r="24" spans="2:3" x14ac:dyDescent="0.35">
      <c r="B24" s="36" t="s">
        <v>247</v>
      </c>
      <c r="C24">
        <v>75</v>
      </c>
    </row>
    <row r="25" spans="2:3" x14ac:dyDescent="0.35">
      <c r="B25" s="36" t="s">
        <v>248</v>
      </c>
      <c r="C25">
        <v>82</v>
      </c>
    </row>
    <row r="26" spans="2:3" x14ac:dyDescent="0.35">
      <c r="B26" s="16" t="s">
        <v>254</v>
      </c>
    </row>
    <row r="27" spans="2:3" x14ac:dyDescent="0.35">
      <c r="B27" s="36" t="s">
        <v>250</v>
      </c>
      <c r="C27">
        <v>3</v>
      </c>
    </row>
    <row r="28" spans="2:3" x14ac:dyDescent="0.35">
      <c r="B28" s="36" t="s">
        <v>251</v>
      </c>
      <c r="C28">
        <v>13</v>
      </c>
    </row>
    <row r="29" spans="2:3" x14ac:dyDescent="0.35">
      <c r="B29" s="36" t="s">
        <v>252</v>
      </c>
      <c r="C29">
        <v>22</v>
      </c>
    </row>
    <row r="30" spans="2:3" x14ac:dyDescent="0.35">
      <c r="B30" s="36" t="s">
        <v>253</v>
      </c>
      <c r="C30">
        <v>31</v>
      </c>
    </row>
    <row r="31" spans="2:3" x14ac:dyDescent="0.35">
      <c r="B31" s="36" t="s">
        <v>241</v>
      </c>
      <c r="C31">
        <v>40</v>
      </c>
    </row>
    <row r="32" spans="2:3" x14ac:dyDescent="0.35">
      <c r="B32" s="36" t="s">
        <v>242</v>
      </c>
      <c r="C32">
        <v>47</v>
      </c>
    </row>
    <row r="33" spans="2:3" x14ac:dyDescent="0.35">
      <c r="B33" s="36" t="s">
        <v>243</v>
      </c>
      <c r="C33">
        <v>52</v>
      </c>
    </row>
    <row r="34" spans="2:3" x14ac:dyDescent="0.35">
      <c r="B34" s="36" t="s">
        <v>244</v>
      </c>
      <c r="C34">
        <v>57</v>
      </c>
    </row>
    <row r="35" spans="2:3" x14ac:dyDescent="0.35">
      <c r="B35" s="36" t="s">
        <v>245</v>
      </c>
      <c r="C35">
        <v>59</v>
      </c>
    </row>
    <row r="36" spans="2:3" x14ac:dyDescent="0.35">
      <c r="B36" s="36" t="s">
        <v>246</v>
      </c>
      <c r="C36">
        <v>62</v>
      </c>
    </row>
    <row r="37" spans="2:3" x14ac:dyDescent="0.35">
      <c r="B37" s="16" t="s">
        <v>255</v>
      </c>
    </row>
    <row r="38" spans="2:3" x14ac:dyDescent="0.35">
      <c r="B38" s="36" t="s">
        <v>251</v>
      </c>
      <c r="C38">
        <v>1</v>
      </c>
    </row>
    <row r="39" spans="2:3" x14ac:dyDescent="0.35">
      <c r="B39" s="36" t="s">
        <v>253</v>
      </c>
      <c r="C39">
        <v>2</v>
      </c>
    </row>
    <row r="40" spans="2:3" x14ac:dyDescent="0.35">
      <c r="B40" s="16" t="s">
        <v>234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75C1A-9EF1-4ACD-8E27-2CE87713AB75}">
  <sheetPr>
    <tabColor theme="9" tint="0.59999389629810485"/>
  </sheetPr>
  <dimension ref="B2:M6"/>
  <sheetViews>
    <sheetView zoomScale="80" zoomScaleNormal="80" workbookViewId="0">
      <selection activeCell="Q8" sqref="Q8"/>
    </sheetView>
  </sheetViews>
  <sheetFormatPr defaultRowHeight="14.5" x14ac:dyDescent="0.35"/>
  <cols>
    <col min="2" max="2" width="20.453125" bestFit="1" customWidth="1"/>
    <col min="3" max="3" width="2" customWidth="1"/>
    <col min="4" max="4" width="20.453125" customWidth="1"/>
    <col min="5" max="5" width="2" customWidth="1"/>
    <col min="6" max="6" width="20.453125" customWidth="1"/>
    <col min="9" max="9" width="20.453125" bestFit="1" customWidth="1"/>
    <col min="10" max="10" width="2" customWidth="1"/>
    <col min="11" max="11" width="20.453125" customWidth="1"/>
    <col min="12" max="12" width="2" customWidth="1"/>
    <col min="13" max="13" width="20.453125" customWidth="1"/>
  </cols>
  <sheetData>
    <row r="2" spans="2:13" ht="36" x14ac:dyDescent="0.8">
      <c r="B2" s="47" t="s">
        <v>260</v>
      </c>
      <c r="C2" s="47"/>
      <c r="D2" s="47"/>
      <c r="E2" s="47"/>
      <c r="F2" s="47"/>
      <c r="I2" s="47" t="s">
        <v>261</v>
      </c>
      <c r="J2" s="47"/>
      <c r="K2" s="47"/>
      <c r="L2" s="47"/>
      <c r="M2" s="47"/>
    </row>
    <row r="3" spans="2:13" ht="17.5" x14ac:dyDescent="0.35">
      <c r="B3" s="40" t="s">
        <v>257</v>
      </c>
      <c r="D3" s="40" t="s">
        <v>258</v>
      </c>
      <c r="F3" s="40" t="s">
        <v>259</v>
      </c>
      <c r="I3" s="40" t="s">
        <v>257</v>
      </c>
      <c r="K3" s="40" t="s">
        <v>258</v>
      </c>
      <c r="M3" s="40" t="s">
        <v>259</v>
      </c>
    </row>
    <row r="4" spans="2:13" ht="84" customHeight="1" x14ac:dyDescent="0.35">
      <c r="B4" s="41">
        <f>COUNTIFS(all_staff[Country],"NZ")</f>
        <v>91</v>
      </c>
      <c r="D4" s="39">
        <f>COUNTIFS(all_staff[Country],"NZ",all_staff[Gender],"Female")/B4</f>
        <v>0.47252747252747251</v>
      </c>
      <c r="F4" s="42">
        <f>AVERAGEIFS(all_staff[Salary],all_staff[Country],"NZ")</f>
        <v>76978.791208791212</v>
      </c>
      <c r="I4" s="43">
        <f>COUNTIFS(all_staff[Country],"IND")</f>
        <v>92</v>
      </c>
      <c r="K4" s="45">
        <f>COUNTIFS(all_staff[Country],"IND",all_staff[Gender],"Female")/I4</f>
        <v>0.46739130434782611</v>
      </c>
      <c r="M4" s="44">
        <f>AVERAGEIFS(all_staff[Salary],all_staff[Country],"IND")</f>
        <v>77366.521739130432</v>
      </c>
    </row>
    <row r="6" spans="2:13" ht="25" x14ac:dyDescent="0.35">
      <c r="B6" s="46" t="s">
        <v>256</v>
      </c>
      <c r="C6" s="46"/>
      <c r="D6" s="46"/>
      <c r="E6" s="46"/>
      <c r="F6" s="46"/>
      <c r="G6" s="46"/>
      <c r="H6" s="46"/>
      <c r="I6" s="46"/>
      <c r="J6" s="46"/>
      <c r="K6" s="46"/>
      <c r="L6" s="46"/>
      <c r="M6" s="46"/>
    </row>
  </sheetData>
  <mergeCells count="3">
    <mergeCell ref="B6:M6"/>
    <mergeCell ref="B2:F2"/>
    <mergeCell ref="I2:M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BC64A-32F8-4298-9396-5AAA3B3257A3}">
  <sheetPr>
    <tabColor theme="4" tint="0.59999389629810485"/>
  </sheetPr>
  <dimension ref="B3:E13"/>
  <sheetViews>
    <sheetView workbookViewId="0">
      <selection activeCell="E3" sqref="B3:E3"/>
    </sheetView>
  </sheetViews>
  <sheetFormatPr defaultRowHeight="14.5" x14ac:dyDescent="0.35"/>
  <sheetData>
    <row r="3" spans="2:5" ht="15.5" x14ac:dyDescent="0.35">
      <c r="B3" s="20">
        <v>1</v>
      </c>
      <c r="C3" s="24" t="s">
        <v>228</v>
      </c>
      <c r="D3" s="24"/>
      <c r="E3" s="24"/>
    </row>
    <row r="6" spans="2:5" x14ac:dyDescent="0.35">
      <c r="E6" s="19" t="s">
        <v>214</v>
      </c>
    </row>
    <row r="7" spans="2:5" x14ac:dyDescent="0.35">
      <c r="B7" s="19" t="s">
        <v>210</v>
      </c>
      <c r="C7" s="19"/>
      <c r="D7" s="21">
        <f>COUNTA(all_staff[Name])</f>
        <v>183</v>
      </c>
      <c r="E7" s="21"/>
    </row>
    <row r="8" spans="2:5" x14ac:dyDescent="0.35">
      <c r="B8" s="19" t="s">
        <v>211</v>
      </c>
      <c r="C8" s="19"/>
      <c r="D8" s="21">
        <f>AVERAGE(all_staff[Age])</f>
        <v>30.42622950819672</v>
      </c>
      <c r="E8" s="21">
        <f>MEDIAN('All Staff'!C:C)</f>
        <v>30</v>
      </c>
    </row>
    <row r="9" spans="2:5" x14ac:dyDescent="0.35">
      <c r="B9" s="19" t="s">
        <v>208</v>
      </c>
      <c r="C9" s="19"/>
      <c r="D9" s="21">
        <f>AVERAGE(all_staff[Salary])</f>
        <v>77173.715846994543</v>
      </c>
      <c r="E9" s="21">
        <f>MEDIAN(all_staff[Salary])</f>
        <v>75000</v>
      </c>
    </row>
    <row r="10" spans="2:5" x14ac:dyDescent="0.35">
      <c r="B10" s="19" t="s">
        <v>212</v>
      </c>
      <c r="C10" s="19"/>
      <c r="D10" s="21">
        <f ca="1">AVERAGE(all_staff[Tenure])</f>
        <v>4.9094992140130236</v>
      </c>
      <c r="E10" s="21"/>
    </row>
    <row r="11" spans="2:5" x14ac:dyDescent="0.35">
      <c r="B11" s="19" t="s">
        <v>209</v>
      </c>
      <c r="C11" s="19"/>
      <c r="D11" s="22">
        <f>D12/D7</f>
        <v>0.46994535519125685</v>
      </c>
      <c r="E11" s="21"/>
    </row>
    <row r="12" spans="2:5" x14ac:dyDescent="0.35">
      <c r="B12" s="19" t="s">
        <v>215</v>
      </c>
      <c r="C12" s="19"/>
      <c r="D12" s="21">
        <f>COUNTIFS(all_staff[Gender],"Female")</f>
        <v>86</v>
      </c>
      <c r="E12" s="21"/>
    </row>
    <row r="13" spans="2:5" x14ac:dyDescent="0.35">
      <c r="B13" s="19" t="s">
        <v>216</v>
      </c>
      <c r="C13" s="19"/>
      <c r="D13" s="22">
        <f>COUNTIF(all_staff[Salary],"&gt;90,000")/COUNT(all_staff[Salary])</f>
        <v>0.34426229508196721</v>
      </c>
      <c r="E13" s="2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0F61C-7046-4C44-B6B6-1F549363BE63}">
  <sheetPr>
    <tabColor theme="4" tint="0.59999389629810485"/>
  </sheetPr>
  <dimension ref="C1:K22"/>
  <sheetViews>
    <sheetView workbookViewId="0">
      <selection activeCell="G6" sqref="G6"/>
    </sheetView>
  </sheetViews>
  <sheetFormatPr defaultRowHeight="14.5" x14ac:dyDescent="0.35"/>
  <cols>
    <col min="3" max="3" width="10.81640625" bestFit="1" customWidth="1"/>
    <col min="4" max="4" width="18.81640625" bestFit="1" customWidth="1"/>
    <col min="6" max="8" width="8.90625" customWidth="1"/>
    <col min="9" max="9" width="18.81640625" bestFit="1" customWidth="1"/>
  </cols>
  <sheetData>
    <row r="1" spans="3:11" ht="15.5" x14ac:dyDescent="0.35">
      <c r="J1" s="30"/>
      <c r="K1" s="30"/>
    </row>
    <row r="4" spans="3:11" ht="15.5" x14ac:dyDescent="0.35">
      <c r="E4" s="30"/>
    </row>
    <row r="5" spans="3:11" ht="15.5" x14ac:dyDescent="0.35">
      <c r="C5" s="32">
        <v>2</v>
      </c>
      <c r="D5" s="24" t="s">
        <v>218</v>
      </c>
    </row>
    <row r="10" spans="3:11" ht="15.5" x14ac:dyDescent="0.35">
      <c r="C10" s="27" t="s">
        <v>0</v>
      </c>
      <c r="D10" s="31" t="s">
        <v>194</v>
      </c>
    </row>
    <row r="12" spans="3:11" ht="15.5" x14ac:dyDescent="0.35">
      <c r="C12" s="24" t="s">
        <v>231</v>
      </c>
      <c r="D12" s="24" t="s">
        <v>217</v>
      </c>
    </row>
    <row r="15" spans="3:11" x14ac:dyDescent="0.35">
      <c r="C15" s="19" t="s">
        <v>1</v>
      </c>
      <c r="D15" s="11" t="str" cm="1">
        <f t="array" aca="1" ref="D15:D22" ca="1">TRANSPOSE(_xlfn.XLOOKUP(D10,all_staff[Name],all_staff[[Gender]:[Tenure]]))</f>
        <v>Female</v>
      </c>
    </row>
    <row r="16" spans="3:11" x14ac:dyDescent="0.35">
      <c r="C16" s="19" t="s">
        <v>3</v>
      </c>
      <c r="D16" s="11">
        <f ca="1"/>
        <v>40</v>
      </c>
    </row>
    <row r="17" spans="3:4" x14ac:dyDescent="0.35">
      <c r="C17" s="19" t="s">
        <v>6</v>
      </c>
      <c r="D17" s="11" t="str">
        <f ca="1"/>
        <v>Average</v>
      </c>
    </row>
    <row r="18" spans="3:4" x14ac:dyDescent="0.35">
      <c r="C18" s="19" t="s">
        <v>4</v>
      </c>
      <c r="D18" s="12">
        <f ca="1"/>
        <v>44320</v>
      </c>
    </row>
    <row r="19" spans="3:4" x14ac:dyDescent="0.35">
      <c r="C19" s="19" t="s">
        <v>2</v>
      </c>
      <c r="D19" s="11" t="str">
        <f ca="1"/>
        <v>Website</v>
      </c>
    </row>
    <row r="20" spans="3:4" x14ac:dyDescent="0.35">
      <c r="C20" s="19" t="s">
        <v>5</v>
      </c>
      <c r="D20" s="11">
        <f ca="1"/>
        <v>104410</v>
      </c>
    </row>
    <row r="21" spans="3:4" x14ac:dyDescent="0.35">
      <c r="C21" s="19" t="s">
        <v>204</v>
      </c>
      <c r="D21" s="11" t="str">
        <f ca="1"/>
        <v>IND</v>
      </c>
    </row>
    <row r="22" spans="3:4" x14ac:dyDescent="0.35">
      <c r="C22" s="19" t="s">
        <v>213</v>
      </c>
      <c r="D22" s="13">
        <f ca="1"/>
        <v>5.2191780821917808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663B8-E8AD-4957-B7A1-1D7B5DFD154B}">
  <sheetPr>
    <tabColor theme="4" tint="0.59999389629810485"/>
  </sheetPr>
  <dimension ref="C4:H43"/>
  <sheetViews>
    <sheetView workbookViewId="0">
      <selection activeCell="G5" sqref="G5"/>
    </sheetView>
  </sheetViews>
  <sheetFormatPr defaultRowHeight="14.5" x14ac:dyDescent="0.35"/>
  <cols>
    <col min="3" max="3" width="5.54296875" bestFit="1" customWidth="1"/>
    <col min="4" max="4" width="32" bestFit="1" customWidth="1"/>
    <col min="5" max="5" width="20.6328125" bestFit="1" customWidth="1"/>
    <col min="6" max="6" width="12.54296875" style="5" bestFit="1" customWidth="1"/>
    <col min="7" max="7" width="28.36328125" bestFit="1" customWidth="1"/>
    <col min="8" max="8" width="3.08984375" customWidth="1"/>
    <col min="9" max="9" width="3.1796875" bestFit="1" customWidth="1"/>
    <col min="10" max="10" width="18.1796875" bestFit="1" customWidth="1"/>
  </cols>
  <sheetData>
    <row r="4" spans="3:8" ht="18.5" x14ac:dyDescent="0.45">
      <c r="C4" s="33">
        <v>3</v>
      </c>
      <c r="D4" s="14" t="s">
        <v>229</v>
      </c>
      <c r="H4" s="29"/>
    </row>
    <row r="10" spans="3:8" ht="18.5" x14ac:dyDescent="0.45">
      <c r="D10" s="25" t="s">
        <v>221</v>
      </c>
      <c r="E10" s="26" t="s">
        <v>19</v>
      </c>
    </row>
    <row r="12" spans="3:8" ht="15.5" x14ac:dyDescent="0.35">
      <c r="G12" s="27" t="s">
        <v>219</v>
      </c>
      <c r="H12" s="24">
        <f>COUNTIFS(all_staff[Department],E10)</f>
        <v>28</v>
      </c>
    </row>
    <row r="15" spans="3:8" ht="18.5" x14ac:dyDescent="0.45">
      <c r="C15" s="25" t="s">
        <v>220</v>
      </c>
      <c r="D15" s="25" t="s">
        <v>0</v>
      </c>
      <c r="E15" s="25" t="s">
        <v>6</v>
      </c>
      <c r="F15" s="28" t="s">
        <v>5</v>
      </c>
    </row>
    <row r="16" spans="3:8" x14ac:dyDescent="0.35">
      <c r="C16" s="10">
        <v>1</v>
      </c>
      <c r="D16" s="10" t="str" cm="1">
        <f t="array" aca="1" ref="D16:F43" ca="1">_xlfn._xlws.SORT(_xlfn.CHOOSECOLS(_xlfn._xlws.FILTER(all_staff[],all_staff[Department]=E10),1,4,7),3,-1)</f>
        <v>Krishnakanta Vellanki</v>
      </c>
      <c r="E16" s="10" t="str">
        <f ca="1"/>
        <v>Above average</v>
      </c>
      <c r="F16" s="23">
        <f ca="1"/>
        <v>112780</v>
      </c>
    </row>
    <row r="17" spans="3:6" x14ac:dyDescent="0.35">
      <c r="C17" s="10">
        <v>2</v>
      </c>
      <c r="D17" s="10" t="str">
        <f ca="1"/>
        <v>Lindy Guillet</v>
      </c>
      <c r="E17" s="10" t="str">
        <f ca="1"/>
        <v>Above average</v>
      </c>
      <c r="F17" s="23">
        <f ca="1"/>
        <v>112780</v>
      </c>
    </row>
    <row r="18" spans="3:6" x14ac:dyDescent="0.35">
      <c r="C18" s="10">
        <v>3</v>
      </c>
      <c r="D18" s="10" t="str">
        <f ca="1"/>
        <v>Sawini Chandan</v>
      </c>
      <c r="E18" s="10" t="str">
        <f ca="1"/>
        <v>Exceptional</v>
      </c>
      <c r="F18" s="23">
        <f ca="1"/>
        <v>109160</v>
      </c>
    </row>
    <row r="19" spans="3:6" x14ac:dyDescent="0.35">
      <c r="C19" s="10">
        <v>4</v>
      </c>
      <c r="D19" s="10" t="str">
        <f ca="1"/>
        <v>Rafaelita Blaksland</v>
      </c>
      <c r="E19" s="10" t="str">
        <f ca="1"/>
        <v>Exceptional</v>
      </c>
      <c r="F19" s="23">
        <f ca="1"/>
        <v>109160</v>
      </c>
    </row>
    <row r="20" spans="3:6" x14ac:dyDescent="0.35">
      <c r="C20" s="10">
        <v>5</v>
      </c>
      <c r="D20" s="10" t="str">
        <f ca="1"/>
        <v>Purnendu Vijayarangan</v>
      </c>
      <c r="E20" s="10" t="str">
        <f ca="1"/>
        <v>Average</v>
      </c>
      <c r="F20" s="23">
        <f ca="1"/>
        <v>92700</v>
      </c>
    </row>
    <row r="21" spans="3:6" x14ac:dyDescent="0.35">
      <c r="C21" s="10">
        <v>6</v>
      </c>
      <c r="D21" s="10" t="str">
        <f ca="1"/>
        <v>Hinda Label</v>
      </c>
      <c r="E21" s="10" t="str">
        <f ca="1"/>
        <v>Average</v>
      </c>
      <c r="F21" s="23">
        <f ca="1"/>
        <v>92700</v>
      </c>
    </row>
    <row r="22" spans="3:6" x14ac:dyDescent="0.35">
      <c r="C22" s="10">
        <v>7</v>
      </c>
      <c r="D22" s="10" t="str">
        <f ca="1"/>
        <v>Shulabh Qutub Sundaramoorthy</v>
      </c>
      <c r="E22" s="10" t="str">
        <f ca="1"/>
        <v>Average</v>
      </c>
      <c r="F22" s="23">
        <f ca="1"/>
        <v>78540</v>
      </c>
    </row>
    <row r="23" spans="3:6" x14ac:dyDescent="0.35">
      <c r="C23" s="10">
        <v>8</v>
      </c>
      <c r="D23" s="10" t="str">
        <f ca="1"/>
        <v>Gray Seamon</v>
      </c>
      <c r="E23" s="10" t="str">
        <f ca="1"/>
        <v>Average</v>
      </c>
      <c r="F23" s="23">
        <f ca="1"/>
        <v>78540</v>
      </c>
    </row>
    <row r="24" spans="3:6" x14ac:dyDescent="0.35">
      <c r="C24" s="10">
        <v>9</v>
      </c>
      <c r="D24" s="10" t="str">
        <f ca="1"/>
        <v>Yauvani Tarpa</v>
      </c>
      <c r="E24" s="10" t="str">
        <f ca="1"/>
        <v>Average</v>
      </c>
      <c r="F24" s="23">
        <f ca="1"/>
        <v>74550</v>
      </c>
    </row>
    <row r="25" spans="3:6" x14ac:dyDescent="0.35">
      <c r="C25" s="10">
        <v>10</v>
      </c>
      <c r="D25" s="10" t="str">
        <f ca="1"/>
        <v>Gigi Bohling</v>
      </c>
      <c r="E25" s="10" t="str">
        <f ca="1"/>
        <v>Average</v>
      </c>
      <c r="F25" s="23">
        <f ca="1"/>
        <v>74550</v>
      </c>
    </row>
    <row r="26" spans="3:6" x14ac:dyDescent="0.35">
      <c r="C26" s="10">
        <v>11</v>
      </c>
      <c r="D26" s="10" t="str">
        <f ca="1"/>
        <v>Devasree Fullara Saurin</v>
      </c>
      <c r="E26" s="10" t="str">
        <f ca="1"/>
        <v>Poor</v>
      </c>
      <c r="F26" s="23">
        <f ca="1"/>
        <v>68900</v>
      </c>
    </row>
    <row r="27" spans="3:6" x14ac:dyDescent="0.35">
      <c r="C27" s="10">
        <v>12</v>
      </c>
      <c r="D27" s="10" t="str">
        <f ca="1"/>
        <v>Hyacinthie Braybrooke</v>
      </c>
      <c r="E27" s="10" t="str">
        <f ca="1"/>
        <v>Poor</v>
      </c>
      <c r="F27" s="23">
        <f ca="1"/>
        <v>68900</v>
      </c>
    </row>
    <row r="28" spans="3:6" x14ac:dyDescent="0.35">
      <c r="C28" s="10">
        <v>13</v>
      </c>
      <c r="D28" s="10" t="str">
        <f ca="1"/>
        <v>Abhaya Priyavardhan</v>
      </c>
      <c r="E28" s="10" t="str">
        <f ca="1"/>
        <v>Average</v>
      </c>
      <c r="F28" s="23">
        <f ca="1"/>
        <v>65700</v>
      </c>
    </row>
    <row r="29" spans="3:6" x14ac:dyDescent="0.35">
      <c r="C29" s="10">
        <v>14</v>
      </c>
      <c r="D29" s="10" t="str">
        <f ca="1"/>
        <v>Kath Bletsoe</v>
      </c>
      <c r="E29" s="10" t="str">
        <f ca="1"/>
        <v>Average</v>
      </c>
      <c r="F29" s="23">
        <f ca="1"/>
        <v>65700</v>
      </c>
    </row>
    <row r="30" spans="3:6" x14ac:dyDescent="0.35">
      <c r="C30" s="10">
        <v>15</v>
      </c>
      <c r="D30" s="10" t="str">
        <f ca="1"/>
        <v>Mirium Seemantini Shivakumar</v>
      </c>
      <c r="E30" s="10" t="str">
        <f ca="1"/>
        <v>Above average</v>
      </c>
      <c r="F30" s="23">
        <f ca="1"/>
        <v>56870</v>
      </c>
    </row>
    <row r="31" spans="3:6" x14ac:dyDescent="0.35">
      <c r="C31" s="10">
        <v>16</v>
      </c>
      <c r="D31" s="10" t="str">
        <f ca="1"/>
        <v>Oran Buxcy</v>
      </c>
      <c r="E31" s="10" t="str">
        <f ca="1"/>
        <v>Above average</v>
      </c>
      <c r="F31" s="23">
        <f ca="1"/>
        <v>56870</v>
      </c>
    </row>
    <row r="32" spans="3:6" x14ac:dyDescent="0.35">
      <c r="C32" s="10">
        <v>17</v>
      </c>
      <c r="D32" s="10" t="str">
        <f ca="1"/>
        <v>Sanchali Shirish</v>
      </c>
      <c r="E32" s="10" t="str">
        <f ca="1"/>
        <v>Average</v>
      </c>
      <c r="F32" s="23">
        <f ca="1"/>
        <v>54970</v>
      </c>
    </row>
    <row r="33" spans="3:6" x14ac:dyDescent="0.35">
      <c r="C33" s="10">
        <v>18</v>
      </c>
      <c r="D33" s="10" t="str">
        <f ca="1"/>
        <v>Alta Kaszper</v>
      </c>
      <c r="E33" s="10" t="str">
        <f ca="1"/>
        <v>Average</v>
      </c>
      <c r="F33" s="23">
        <f ca="1"/>
        <v>54970</v>
      </c>
    </row>
    <row r="34" spans="3:6" x14ac:dyDescent="0.35">
      <c r="C34" s="10">
        <v>19</v>
      </c>
      <c r="D34" s="10" t="str">
        <f ca="1"/>
        <v>Geena Raghavanpillai</v>
      </c>
      <c r="E34" s="10" t="str">
        <f ca="1"/>
        <v>Average</v>
      </c>
      <c r="F34" s="23">
        <f ca="1"/>
        <v>53540</v>
      </c>
    </row>
    <row r="35" spans="3:6" x14ac:dyDescent="0.35">
      <c r="C35" s="10">
        <v>20</v>
      </c>
      <c r="D35" s="10" t="str">
        <f ca="1"/>
        <v>Hoyt D'Alesco</v>
      </c>
      <c r="E35" s="10" t="str">
        <f ca="1"/>
        <v>Average</v>
      </c>
      <c r="F35" s="23">
        <f ca="1"/>
        <v>53540</v>
      </c>
    </row>
    <row r="36" spans="3:6" x14ac:dyDescent="0.35">
      <c r="C36" s="10">
        <v>21</v>
      </c>
      <c r="D36" s="10" t="str">
        <f ca="1"/>
        <v>Anumati Shyamari Meherhomji</v>
      </c>
      <c r="E36" s="10" t="str">
        <f ca="1"/>
        <v>Average</v>
      </c>
      <c r="F36" s="23">
        <f ca="1"/>
        <v>53240</v>
      </c>
    </row>
    <row r="37" spans="3:6" x14ac:dyDescent="0.35">
      <c r="C37" s="10">
        <v>22</v>
      </c>
      <c r="D37" s="10" t="str">
        <f ca="1"/>
        <v>Tatum Hush</v>
      </c>
      <c r="E37" s="10" t="str">
        <f ca="1"/>
        <v>Average</v>
      </c>
      <c r="F37" s="23">
        <f ca="1"/>
        <v>53240</v>
      </c>
    </row>
    <row r="38" spans="3:6" x14ac:dyDescent="0.35">
      <c r="C38" s="10">
        <v>23</v>
      </c>
      <c r="D38" s="10" t="str">
        <f ca="1"/>
        <v>Daruka Ghazali</v>
      </c>
      <c r="E38" s="10" t="str">
        <f ca="1"/>
        <v>Poor</v>
      </c>
      <c r="F38" s="23">
        <f ca="1"/>
        <v>49630</v>
      </c>
    </row>
    <row r="39" spans="3:6" x14ac:dyDescent="0.35">
      <c r="C39" s="10">
        <v>24</v>
      </c>
      <c r="D39" s="10" t="str">
        <f ca="1"/>
        <v>Violante Courtonne</v>
      </c>
      <c r="E39" s="10" t="str">
        <f ca="1"/>
        <v>Poor</v>
      </c>
      <c r="F39" s="23">
        <f ca="1"/>
        <v>49630</v>
      </c>
    </row>
    <row r="40" spans="3:6" x14ac:dyDescent="0.35">
      <c r="C40" s="10">
        <v>25</v>
      </c>
      <c r="D40" s="10" t="str">
        <f ca="1"/>
        <v>Rupak Mehra</v>
      </c>
      <c r="E40" s="10" t="str">
        <f ca="1"/>
        <v>Very poor</v>
      </c>
      <c r="F40" s="23">
        <f ca="1"/>
        <v>43510</v>
      </c>
    </row>
    <row r="41" spans="3:6" x14ac:dyDescent="0.35">
      <c r="C41" s="10">
        <v>26</v>
      </c>
      <c r="D41" s="10" t="str">
        <f ca="1"/>
        <v>Drusy MacCombe</v>
      </c>
      <c r="E41" s="10" t="str">
        <f ca="1"/>
        <v>Very poor</v>
      </c>
      <c r="F41" s="23">
        <f ca="1"/>
        <v>43510</v>
      </c>
    </row>
    <row r="42" spans="3:6" x14ac:dyDescent="0.35">
      <c r="C42" s="10">
        <v>27</v>
      </c>
      <c r="D42" s="10" t="str">
        <f ca="1"/>
        <v>Waheeda Vasuman</v>
      </c>
      <c r="E42" s="10" t="str">
        <f ca="1"/>
        <v>Average</v>
      </c>
      <c r="F42" s="23">
        <f ca="1"/>
        <v>36040</v>
      </c>
    </row>
    <row r="43" spans="3:6" x14ac:dyDescent="0.35">
      <c r="C43" s="10">
        <v>28</v>
      </c>
      <c r="D43" s="10" t="str">
        <f ca="1"/>
        <v>Bili Sizey</v>
      </c>
      <c r="E43" s="10" t="str">
        <f ca="1"/>
        <v>Average</v>
      </c>
      <c r="F43" s="23">
        <f ca="1"/>
        <v>36040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5616C-559F-46DA-9D79-157F3E4D5BE8}">
  <sheetPr>
    <tabColor theme="4" tint="0.59999389629810485"/>
  </sheetPr>
  <dimension ref="B2:G14"/>
  <sheetViews>
    <sheetView workbookViewId="0">
      <selection activeCell="D3" sqref="D3"/>
    </sheetView>
  </sheetViews>
  <sheetFormatPr defaultRowHeight="14.5" x14ac:dyDescent="0.35"/>
  <cols>
    <col min="2" max="2" width="4.81640625" customWidth="1"/>
    <col min="3" max="3" width="31.90625" bestFit="1" customWidth="1"/>
    <col min="4" max="4" width="11.08984375" bestFit="1" customWidth="1"/>
    <col min="5" max="5" width="16" bestFit="1" customWidth="1"/>
    <col min="6" max="6" width="15.54296875" bestFit="1" customWidth="1"/>
    <col min="7" max="7" width="11.08984375" bestFit="1" customWidth="1"/>
    <col min="8" max="9" width="11.08984375" customWidth="1"/>
  </cols>
  <sheetData>
    <row r="2" spans="2:7" ht="18.5" x14ac:dyDescent="0.45">
      <c r="B2" s="38">
        <v>4</v>
      </c>
      <c r="C2" s="14" t="s">
        <v>232</v>
      </c>
    </row>
    <row r="9" spans="2:7" x14ac:dyDescent="0.35">
      <c r="F9" s="15" t="s">
        <v>222</v>
      </c>
    </row>
    <row r="10" spans="2:7" x14ac:dyDescent="0.35">
      <c r="E10" s="15" t="s">
        <v>223</v>
      </c>
      <c r="F10" t="s">
        <v>8</v>
      </c>
      <c r="G10" t="s">
        <v>15</v>
      </c>
    </row>
    <row r="11" spans="2:7" x14ac:dyDescent="0.35">
      <c r="E11" s="16" t="s">
        <v>224</v>
      </c>
      <c r="F11" s="17">
        <v>43</v>
      </c>
      <c r="G11" s="17">
        <v>44</v>
      </c>
    </row>
    <row r="12" spans="2:7" x14ac:dyDescent="0.35">
      <c r="E12" s="16" t="s">
        <v>225</v>
      </c>
      <c r="F12" s="8">
        <v>31.395348837209301</v>
      </c>
      <c r="G12" s="8">
        <v>29.34090909090909</v>
      </c>
    </row>
    <row r="13" spans="2:7" x14ac:dyDescent="0.35">
      <c r="E13" s="16" t="s">
        <v>226</v>
      </c>
      <c r="F13" s="5">
        <v>78284.186046511633</v>
      </c>
      <c r="G13" s="5">
        <v>74486.363636363632</v>
      </c>
    </row>
    <row r="14" spans="2:7" x14ac:dyDescent="0.35">
      <c r="E14" s="16" t="s">
        <v>227</v>
      </c>
      <c r="F14" s="7">
        <v>4.2916852500796434</v>
      </c>
      <c r="G14" s="7">
        <v>4.2887297633872974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9B673C-6DA1-4F27-BA1D-55FF352D42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NZ staff</vt:lpstr>
      <vt:lpstr>India Staff</vt:lpstr>
      <vt:lpstr>All Staff</vt:lpstr>
      <vt:lpstr>Salary Spread</vt:lpstr>
      <vt:lpstr>Relationship</vt:lpstr>
      <vt:lpstr>Trend</vt:lpstr>
      <vt:lpstr>Scorecard</vt:lpstr>
      <vt:lpstr>Problem 1</vt:lpstr>
      <vt:lpstr>Problem 2</vt:lpstr>
      <vt:lpstr>Problem 3</vt:lpstr>
      <vt:lpstr>Problem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Tejswee rauthan</cp:lastModifiedBy>
  <dcterms:created xsi:type="dcterms:W3CDTF">2021-03-14T20:21:32Z</dcterms:created>
  <dcterms:modified xsi:type="dcterms:W3CDTF">2026-07-22T11:20:03Z</dcterms:modified>
</cp:coreProperties>
</file>